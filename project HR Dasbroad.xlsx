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Vijay 2\Downloads\"/>
    </mc:Choice>
  </mc:AlternateContent>
  <xr:revisionPtr revIDLastSave="0" documentId="13_ncr:1_{997E27F0-22D3-4B72-A571-CFBF391543B9}" xr6:coauthVersionLast="47" xr6:coauthVersionMax="47" xr10:uidLastSave="{00000000-0000-0000-0000-000000000000}"/>
  <bookViews>
    <workbookView xWindow="-108" yWindow="-108" windowWidth="23256" windowHeight="12456" activeTab="3" xr2:uid="{AE5D47A1-B576-47D3-80C4-1E42EAF753EB}"/>
  </bookViews>
  <sheets>
    <sheet name="Detail1" sheetId="5" r:id="rId1"/>
    <sheet name="Sheet3" sheetId="3" r:id="rId2"/>
    <sheet name="Sheet1" sheetId="1" r:id="rId3"/>
    <sheet name="Dashbroad" sheetId="2" r:id="rId4"/>
  </sheets>
  <definedNames>
    <definedName name="Slicer_Department">#N/A</definedName>
    <definedName name="Slicer_Gender">#N/A</definedName>
    <definedName name="Slicer_Joining_Month">#N/A</definedName>
    <definedName name="Slicer_Performance_Rating">#N/A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16" i="3" l="1"/>
  <c r="S60" i="3"/>
  <c r="P67" i="3"/>
  <c r="P54" i="3"/>
</calcChain>
</file>

<file path=xl/sharedStrings.xml><?xml version="1.0" encoding="utf-8"?>
<sst xmlns="http://schemas.openxmlformats.org/spreadsheetml/2006/main" count="6807" uniqueCount="1036">
  <si>
    <t>📋  EMPLOYEE HR DATA — 'Sunrise Technologies Pvt Ltd' — Year 2024-25</t>
  </si>
  <si>
    <t>Sr No</t>
  </si>
  <si>
    <t>Emp ID</t>
  </si>
  <si>
    <t>Employee Name</t>
  </si>
  <si>
    <t>Department</t>
  </si>
  <si>
    <t>Branch</t>
  </si>
  <si>
    <t>Designation</t>
  </si>
  <si>
    <t>Salary (₹)</t>
  </si>
  <si>
    <t>Performance Rating</t>
  </si>
  <si>
    <t>Joining Month</t>
  </si>
  <si>
    <t>Years of Experience</t>
  </si>
  <si>
    <t>Gender</t>
  </si>
  <si>
    <t>Employment Type</t>
  </si>
  <si>
    <t>Leave Taken</t>
  </si>
  <si>
    <t>EMP-2001</t>
  </si>
  <si>
    <t>Amit Mehta</t>
  </si>
  <si>
    <t>Marketing</t>
  </si>
  <si>
    <t>Nagpur</t>
  </si>
  <si>
    <t>Marketing Manager</t>
  </si>
  <si>
    <t>Average</t>
  </si>
  <si>
    <t>Apr</t>
  </si>
  <si>
    <t>Female</t>
  </si>
  <si>
    <t>Permanent</t>
  </si>
  <si>
    <t>EMP-2002</t>
  </si>
  <si>
    <t>Nikhil Khan</t>
  </si>
  <si>
    <t>Kolhapur</t>
  </si>
  <si>
    <t>Below Average</t>
  </si>
  <si>
    <t>Male</t>
  </si>
  <si>
    <t>EMP-2003</t>
  </si>
  <si>
    <t>Pooja Sawant</t>
  </si>
  <si>
    <t>HR</t>
  </si>
  <si>
    <t>Sr HR Executive</t>
  </si>
  <si>
    <t>Excellent</t>
  </si>
  <si>
    <t>EMP-2004</t>
  </si>
  <si>
    <t>Deepak Yadav</t>
  </si>
  <si>
    <t>HR Head</t>
  </si>
  <si>
    <t>Good</t>
  </si>
  <si>
    <t>EMP-2005</t>
  </si>
  <si>
    <t>Asha Pillai</t>
  </si>
  <si>
    <t>Navi Mumbai</t>
  </si>
  <si>
    <t>EMP-2006</t>
  </si>
  <si>
    <t>Deepak Bhosale</t>
  </si>
  <si>
    <t>CMO</t>
  </si>
  <si>
    <t>EMP-2007</t>
  </si>
  <si>
    <t>Divya Mishra</t>
  </si>
  <si>
    <t>Aurangabad</t>
  </si>
  <si>
    <t>Intern</t>
  </si>
  <si>
    <t>EMP-2008</t>
  </si>
  <si>
    <t>Anita Singh</t>
  </si>
  <si>
    <t>Customer Support</t>
  </si>
  <si>
    <t>Thane</t>
  </si>
  <si>
    <t>Support Executive</t>
  </si>
  <si>
    <t>EMP-2009</t>
  </si>
  <si>
    <t>Nikhil Patel</t>
  </si>
  <si>
    <t>Operations</t>
  </si>
  <si>
    <t>Nashik</t>
  </si>
  <si>
    <t>Operations Executive</t>
  </si>
  <si>
    <t>Contractual</t>
  </si>
  <si>
    <t>EMP-2010</t>
  </si>
  <si>
    <t>Sales</t>
  </si>
  <si>
    <t>Mumbai</t>
  </si>
  <si>
    <t>Sales Manager</t>
  </si>
  <si>
    <t>EMP-2011</t>
  </si>
  <si>
    <t>Rohit Patel</t>
  </si>
  <si>
    <t>EMP-2012</t>
  </si>
  <si>
    <t>Anil Patel</t>
  </si>
  <si>
    <t>Finance</t>
  </si>
  <si>
    <t>Accounts Executive</t>
  </si>
  <si>
    <t>EMP-2013</t>
  </si>
  <si>
    <t>Rohit Verma</t>
  </si>
  <si>
    <t>Support Manager</t>
  </si>
  <si>
    <t>EMP-2014</t>
  </si>
  <si>
    <t>Neha Patil</t>
  </si>
  <si>
    <t>Pune</t>
  </si>
  <si>
    <t>Marketing Executive</t>
  </si>
  <si>
    <t>EMP-2015</t>
  </si>
  <si>
    <t>Deepak Mishra</t>
  </si>
  <si>
    <t>HR Manager</t>
  </si>
  <si>
    <t>EMP-2016</t>
  </si>
  <si>
    <t>Priya Desai</t>
  </si>
  <si>
    <t>Sr Sales Executive</t>
  </si>
  <si>
    <t>EMP-2017</t>
  </si>
  <si>
    <t>Divya More</t>
  </si>
  <si>
    <t>EMP-2018</t>
  </si>
  <si>
    <t>Deepak Kadam</t>
  </si>
  <si>
    <t>Sales Executive</t>
  </si>
  <si>
    <t>EMP-2019</t>
  </si>
  <si>
    <t>Sneha Joshi</t>
  </si>
  <si>
    <t>EMP-2020</t>
  </si>
  <si>
    <t>Rekha Shinde</t>
  </si>
  <si>
    <t>Admin</t>
  </si>
  <si>
    <t>Sr Admin</t>
  </si>
  <si>
    <t>EMP-2021</t>
  </si>
  <si>
    <t>Geeta Agarwal</t>
  </si>
  <si>
    <t>EMP-2022</t>
  </si>
  <si>
    <t>Santosh Deshpande</t>
  </si>
  <si>
    <t>EMP-2023</t>
  </si>
  <si>
    <t>Ravi Patel</t>
  </si>
  <si>
    <t>GM Admin</t>
  </si>
  <si>
    <t>EMP-2024</t>
  </si>
  <si>
    <t>Kavya Verma</t>
  </si>
  <si>
    <t>IT</t>
  </si>
  <si>
    <t>IT Manager</t>
  </si>
  <si>
    <t>EMP-2025</t>
  </si>
  <si>
    <t>Vikram Yadav</t>
  </si>
  <si>
    <t>Admin Manager</t>
  </si>
  <si>
    <t>EMP-2026</t>
  </si>
  <si>
    <t>Sneha Sharma</t>
  </si>
  <si>
    <t>Head Support</t>
  </si>
  <si>
    <t>EMP-2027</t>
  </si>
  <si>
    <t>Sunita Agarwal</t>
  </si>
  <si>
    <t>EMP-2028</t>
  </si>
  <si>
    <t>Suresh Malhotra</t>
  </si>
  <si>
    <t>Admin Executive</t>
  </si>
  <si>
    <t>EMP-2029</t>
  </si>
  <si>
    <t>Pallavi Mehta</t>
  </si>
  <si>
    <t>EMP-2030</t>
  </si>
  <si>
    <t>Anjali Joshi</t>
  </si>
  <si>
    <t>HR Executive</t>
  </si>
  <si>
    <t>EMP-2031</t>
  </si>
  <si>
    <t>Ravi More</t>
  </si>
  <si>
    <t>Finance Manager</t>
  </si>
  <si>
    <t>EMP-2032</t>
  </si>
  <si>
    <t>Shreya Khan</t>
  </si>
  <si>
    <t>EMP-2033</t>
  </si>
  <si>
    <t>Rekha Mishra</t>
  </si>
  <si>
    <t>Sr Developer</t>
  </si>
  <si>
    <t>EMP-2034</t>
  </si>
  <si>
    <t>Deepak More</t>
  </si>
  <si>
    <t>EMP-2035</t>
  </si>
  <si>
    <t>Tarun Joshi</t>
  </si>
  <si>
    <t>EMP-2036</t>
  </si>
  <si>
    <t>Shreya Patil</t>
  </si>
  <si>
    <t>EMP-2037</t>
  </si>
  <si>
    <t>Rohit Sawant</t>
  </si>
  <si>
    <t>EMP-2038</t>
  </si>
  <si>
    <t>Amit Kulkarni</t>
  </si>
  <si>
    <t>EMP-2039</t>
  </si>
  <si>
    <t>Manish Pillai</t>
  </si>
  <si>
    <t>EMP-2040</t>
  </si>
  <si>
    <t>Asha Khan</t>
  </si>
  <si>
    <t>EMP-2041</t>
  </si>
  <si>
    <t>Suresh Bhosale</t>
  </si>
  <si>
    <t>EMP-2042</t>
  </si>
  <si>
    <t>Nikhil Singh</t>
  </si>
  <si>
    <t>EMP-2043</t>
  </si>
  <si>
    <t>Priya Joshi</t>
  </si>
  <si>
    <t>Tech Lead</t>
  </si>
  <si>
    <t>May</t>
  </si>
  <si>
    <t>EMP-2044</t>
  </si>
  <si>
    <t>Meena Bose</t>
  </si>
  <si>
    <t>EMP-2045</t>
  </si>
  <si>
    <t>Meena Joshi</t>
  </si>
  <si>
    <t>Sr Accountant</t>
  </si>
  <si>
    <t>EMP-2046</t>
  </si>
  <si>
    <t>Pallavi Malhotra</t>
  </si>
  <si>
    <t>EMP-2047</t>
  </si>
  <si>
    <t>Manish Kadam</t>
  </si>
  <si>
    <t>Ops Manager</t>
  </si>
  <si>
    <t>EMP-2048</t>
  </si>
  <si>
    <t>Sunita Mehta</t>
  </si>
  <si>
    <t>Poor</t>
  </si>
  <si>
    <t>EMP-2049</t>
  </si>
  <si>
    <t>Amit Deshpande</t>
  </si>
  <si>
    <t>EMP-2050</t>
  </si>
  <si>
    <t>Nikhil Sawant</t>
  </si>
  <si>
    <t>EMP-2051</t>
  </si>
  <si>
    <t>Suresh Rao</t>
  </si>
  <si>
    <t>EMP-2052</t>
  </si>
  <si>
    <t>Kavya Shinde</t>
  </si>
  <si>
    <t>EMP-2053</t>
  </si>
  <si>
    <t>Anil Pawar</t>
  </si>
  <si>
    <t>EMP-2054</t>
  </si>
  <si>
    <t>Asha Mishra</t>
  </si>
  <si>
    <t>EMP-2055</t>
  </si>
  <si>
    <t>EMP-2056</t>
  </si>
  <si>
    <t>Anjali Pillai</t>
  </si>
  <si>
    <t>EMP-2057</t>
  </si>
  <si>
    <t>Amit Mishra</t>
  </si>
  <si>
    <t>EMP-2058</t>
  </si>
  <si>
    <t>Santosh Agarwal</t>
  </si>
  <si>
    <t>EMP-2059</t>
  </si>
  <si>
    <t>Kavya Bose</t>
  </si>
  <si>
    <t>EMP-2060</t>
  </si>
  <si>
    <t>Manish Mishra</t>
  </si>
  <si>
    <t>EMP-2061</t>
  </si>
  <si>
    <t>Anjali Mishra</t>
  </si>
  <si>
    <t>EMP-2062</t>
  </si>
  <si>
    <t>Suresh Verma</t>
  </si>
  <si>
    <t>Sr Support</t>
  </si>
  <si>
    <t>EMP-2063</t>
  </si>
  <si>
    <t>Rekha Kadam</t>
  </si>
  <si>
    <t>EMP-2064</t>
  </si>
  <si>
    <t>Anita Bose</t>
  </si>
  <si>
    <t>EMP-2065</t>
  </si>
  <si>
    <t>Santosh Malhotra</t>
  </si>
  <si>
    <t>EMP-2066</t>
  </si>
  <si>
    <t>Rajesh Desai</t>
  </si>
  <si>
    <t>EMP-2067</t>
  </si>
  <si>
    <t>Santosh Jadhav</t>
  </si>
  <si>
    <t>Sr Operations</t>
  </si>
  <si>
    <t>EMP-2068</t>
  </si>
  <si>
    <t>Vikram Rao</t>
  </si>
  <si>
    <t>EMP-2069</t>
  </si>
  <si>
    <t>Sunita Pillai</t>
  </si>
  <si>
    <t>EMP-2070</t>
  </si>
  <si>
    <t>Vikram Kulkarni</t>
  </si>
  <si>
    <t>EMP-2071</t>
  </si>
  <si>
    <t>Asha Sharma</t>
  </si>
  <si>
    <t>EMP-2072</t>
  </si>
  <si>
    <t>Sunita Bhosale</t>
  </si>
  <si>
    <t>EMP-2073</t>
  </si>
  <si>
    <t>Nikhil Mehta</t>
  </si>
  <si>
    <t>EMP-2074</t>
  </si>
  <si>
    <t>Shreya More</t>
  </si>
  <si>
    <t>EMP-2075</t>
  </si>
  <si>
    <t>Shreya Jadhav</t>
  </si>
  <si>
    <t>EMP-2076</t>
  </si>
  <si>
    <t>Divya Nair</t>
  </si>
  <si>
    <t>EMP-2077</t>
  </si>
  <si>
    <t>Suresh Joshi</t>
  </si>
  <si>
    <t>EMP-2078</t>
  </si>
  <si>
    <t>Sunita Patel</t>
  </si>
  <si>
    <t>EMP-2079</t>
  </si>
  <si>
    <t>Anjali Kadam</t>
  </si>
  <si>
    <t>EMP-2080</t>
  </si>
  <si>
    <t>Priya Malhotra</t>
  </si>
  <si>
    <t>EMP-2081</t>
  </si>
  <si>
    <t>Sunita Sawant</t>
  </si>
  <si>
    <t>EMP-2082</t>
  </si>
  <si>
    <t>Amit More</t>
  </si>
  <si>
    <t>EMP-2083</t>
  </si>
  <si>
    <t>Anil Kadam</t>
  </si>
  <si>
    <t>EMP-2084</t>
  </si>
  <si>
    <t>EMP-2085</t>
  </si>
  <si>
    <t>Manish Mehta</t>
  </si>
  <si>
    <t>EMP-2086</t>
  </si>
  <si>
    <t>Vijay Rao</t>
  </si>
  <si>
    <t>EMP-2087</t>
  </si>
  <si>
    <t>Shreya Bhosale</t>
  </si>
  <si>
    <t>EMP-2088</t>
  </si>
  <si>
    <t>Santosh Gupta</t>
  </si>
  <si>
    <t>EMP-2089</t>
  </si>
  <si>
    <t>Kavya Kadam</t>
  </si>
  <si>
    <t>Jun</t>
  </si>
  <si>
    <t>EMP-2090</t>
  </si>
  <si>
    <t>Suresh Patil</t>
  </si>
  <si>
    <t>VP Operations</t>
  </si>
  <si>
    <t>EMP-2091</t>
  </si>
  <si>
    <t>Divya Malhotra</t>
  </si>
  <si>
    <t>EMP-2092</t>
  </si>
  <si>
    <t>Neha Sawant</t>
  </si>
  <si>
    <t>EMP-2093</t>
  </si>
  <si>
    <t>Rajesh Khan</t>
  </si>
  <si>
    <t>EMP-2094</t>
  </si>
  <si>
    <t>EMP-2095</t>
  </si>
  <si>
    <t>Rahul Patil</t>
  </si>
  <si>
    <t>EMP-2096</t>
  </si>
  <si>
    <t>Shreya Mishra</t>
  </si>
  <si>
    <t>EMP-2097</t>
  </si>
  <si>
    <t>EMP-2098</t>
  </si>
  <si>
    <t>Sunita Shinde</t>
  </si>
  <si>
    <t>EMP-2099</t>
  </si>
  <si>
    <t>Vikram Bhosale</t>
  </si>
  <si>
    <t>EMP-2100</t>
  </si>
  <si>
    <t>Kavya Pawar</t>
  </si>
  <si>
    <t>Sr Marketing</t>
  </si>
  <si>
    <t>EMP-2101</t>
  </si>
  <si>
    <t>Manish Pawar</t>
  </si>
  <si>
    <t>EMP-2102</t>
  </si>
  <si>
    <t>Karan Jadhav</t>
  </si>
  <si>
    <t>EMP-2103</t>
  </si>
  <si>
    <t>Amit Pillai</t>
  </si>
  <si>
    <t>EMP-2104</t>
  </si>
  <si>
    <t>Anjali Patel</t>
  </si>
  <si>
    <t>EMP-2105</t>
  </si>
  <si>
    <t>Tarun Sawant</t>
  </si>
  <si>
    <t>EMP-2106</t>
  </si>
  <si>
    <t>Geeta Sharma</t>
  </si>
  <si>
    <t>CFO</t>
  </si>
  <si>
    <t>EMP-2107</t>
  </si>
  <si>
    <t>Santosh Mishra</t>
  </si>
  <si>
    <t>EMP-2108</t>
  </si>
  <si>
    <t>Vijay Bhosale</t>
  </si>
  <si>
    <t>EMP-2109</t>
  </si>
  <si>
    <t>Vijay Iyer</t>
  </si>
  <si>
    <t>EMP-2110</t>
  </si>
  <si>
    <t>EMP-2111</t>
  </si>
  <si>
    <t>Rajesh Mehta</t>
  </si>
  <si>
    <t>EMP-2112</t>
  </si>
  <si>
    <t>Geeta Nair</t>
  </si>
  <si>
    <t>EMP-2113</t>
  </si>
  <si>
    <t>Pooja Deshpande</t>
  </si>
  <si>
    <t>EMP-2114</t>
  </si>
  <si>
    <t>Pooja Kadam</t>
  </si>
  <si>
    <t>EMP-2115</t>
  </si>
  <si>
    <t>Neha Kulkarni</t>
  </si>
  <si>
    <t>EMP-2116</t>
  </si>
  <si>
    <t>Rahul Nair</t>
  </si>
  <si>
    <t>EMP-2117</t>
  </si>
  <si>
    <t>EMP-2118</t>
  </si>
  <si>
    <t>Sneha Shinde</t>
  </si>
  <si>
    <t>EMP-2119</t>
  </si>
  <si>
    <t>Pooja Sharma</t>
  </si>
  <si>
    <t>EMP-2120</t>
  </si>
  <si>
    <t>Rajesh Verma</t>
  </si>
  <si>
    <t>EMP-2121</t>
  </si>
  <si>
    <t>Nikhil Gaikwad</t>
  </si>
  <si>
    <t>EMP-2122</t>
  </si>
  <si>
    <t>Rohit Desai</t>
  </si>
  <si>
    <t>EMP-2123</t>
  </si>
  <si>
    <t>Kavya Bhosale</t>
  </si>
  <si>
    <t>EMP-2124</t>
  </si>
  <si>
    <t>Asha Mehta</t>
  </si>
  <si>
    <t>EMP-2125</t>
  </si>
  <si>
    <t>Rekha Patel</t>
  </si>
  <si>
    <t>EMP-2126</t>
  </si>
  <si>
    <t>Divya Sawant</t>
  </si>
  <si>
    <t>EMP-2127</t>
  </si>
  <si>
    <t>VP Sales</t>
  </si>
  <si>
    <t>EMP-2128</t>
  </si>
  <si>
    <t>Meena Pillai</t>
  </si>
  <si>
    <t>EMP-2129</t>
  </si>
  <si>
    <t>Anita Mishra</t>
  </si>
  <si>
    <t>EMP-2130</t>
  </si>
  <si>
    <t>Anjali Mehta</t>
  </si>
  <si>
    <t>EMP-2131</t>
  </si>
  <si>
    <t>Rohit Yadav</t>
  </si>
  <si>
    <t>EMP-2132</t>
  </si>
  <si>
    <t>Amit Singh</t>
  </si>
  <si>
    <t>EMP-2133</t>
  </si>
  <si>
    <t>Tarun Desai</t>
  </si>
  <si>
    <t>EMP-2134</t>
  </si>
  <si>
    <t>Anil Desai</t>
  </si>
  <si>
    <t>Jul</t>
  </si>
  <si>
    <t>EMP-2135</t>
  </si>
  <si>
    <t>Sneha Tiwari</t>
  </si>
  <si>
    <t>EMP-2136</t>
  </si>
  <si>
    <t>EMP-2137</t>
  </si>
  <si>
    <t>EMP-2138</t>
  </si>
  <si>
    <t>Geeta Kulkarni</t>
  </si>
  <si>
    <t>EMP-2139</t>
  </si>
  <si>
    <t>Ravi Mehta</t>
  </si>
  <si>
    <t>EMP-2140</t>
  </si>
  <si>
    <t>Karan Joshi</t>
  </si>
  <si>
    <t>EMP-2141</t>
  </si>
  <si>
    <t>Rahul Deshpande</t>
  </si>
  <si>
    <t>EMP-2142</t>
  </si>
  <si>
    <t>Divya Bhosale</t>
  </si>
  <si>
    <t>Software Developer</t>
  </si>
  <si>
    <t>EMP-2143</t>
  </si>
  <si>
    <t>Deepak Sharma</t>
  </si>
  <si>
    <t>EMP-2144</t>
  </si>
  <si>
    <t>Vikram Gaikwad</t>
  </si>
  <si>
    <t>EMP-2145</t>
  </si>
  <si>
    <t>Sneha Sawant</t>
  </si>
  <si>
    <t>EMP-2146</t>
  </si>
  <si>
    <t>Amit Nair</t>
  </si>
  <si>
    <t>EMP-2147</t>
  </si>
  <si>
    <t>Shreya Kulkarni</t>
  </si>
  <si>
    <t>EMP-2148</t>
  </si>
  <si>
    <t>Sneha Bose</t>
  </si>
  <si>
    <t>EMP-2149</t>
  </si>
  <si>
    <t>Nikhil Kadam</t>
  </si>
  <si>
    <t>EMP-2150</t>
  </si>
  <si>
    <t>EMP-2151</t>
  </si>
  <si>
    <t>Anil Jadhav</t>
  </si>
  <si>
    <t>EMP-2152</t>
  </si>
  <si>
    <t>Sunita Yadav</t>
  </si>
  <si>
    <t>EMP-2153</t>
  </si>
  <si>
    <t>Suresh Patel</t>
  </si>
  <si>
    <t>EMP-2154</t>
  </si>
  <si>
    <t>Pooja Pawar</t>
  </si>
  <si>
    <t>EMP-2155</t>
  </si>
  <si>
    <t>Shreya Rao</t>
  </si>
  <si>
    <t>EMP-2156</t>
  </si>
  <si>
    <t>Pallavi Khan</t>
  </si>
  <si>
    <t>EMP-2157</t>
  </si>
  <si>
    <t>Tarun Gaikwad</t>
  </si>
  <si>
    <t>EMP-2158</t>
  </si>
  <si>
    <t>Priya Kulkarni</t>
  </si>
  <si>
    <t>EMP-2159</t>
  </si>
  <si>
    <t>Suresh Mishra</t>
  </si>
  <si>
    <t>EMP-2160</t>
  </si>
  <si>
    <t>EMP-2161</t>
  </si>
  <si>
    <t>Tarun Sharma</t>
  </si>
  <si>
    <t>EMP-2162</t>
  </si>
  <si>
    <t>EMP-2163</t>
  </si>
  <si>
    <t>Suresh Bose</t>
  </si>
  <si>
    <t>EMP-2164</t>
  </si>
  <si>
    <t>EMP-2165</t>
  </si>
  <si>
    <t>Pooja Khan</t>
  </si>
  <si>
    <t>EMP-2166</t>
  </si>
  <si>
    <t>Karan Kulkarni</t>
  </si>
  <si>
    <t>EMP-2167</t>
  </si>
  <si>
    <t>EMP-2168</t>
  </si>
  <si>
    <t>Suresh Sharma</t>
  </si>
  <si>
    <t>EMP-2169</t>
  </si>
  <si>
    <t>Suresh Tiwari</t>
  </si>
  <si>
    <t>EMP-2170</t>
  </si>
  <si>
    <t>Neha Joshi</t>
  </si>
  <si>
    <t>EMP-2171</t>
  </si>
  <si>
    <t>Rahul Mehta</t>
  </si>
  <si>
    <t>EMP-2172</t>
  </si>
  <si>
    <t>EMP-2173</t>
  </si>
  <si>
    <t>Sunita Pawar</t>
  </si>
  <si>
    <t>EMP-2174</t>
  </si>
  <si>
    <t>Geeta Shinde</t>
  </si>
  <si>
    <t>EMP-2175</t>
  </si>
  <si>
    <t>Rekha Nair</t>
  </si>
  <si>
    <t>EMP-2176</t>
  </si>
  <si>
    <t>Sneha Verma</t>
  </si>
  <si>
    <t>Aug</t>
  </si>
  <si>
    <t>EMP-2177</t>
  </si>
  <si>
    <t>Ravi Pillai</t>
  </si>
  <si>
    <t>EMP-2178</t>
  </si>
  <si>
    <t>Pooja Verma</t>
  </si>
  <si>
    <t>EMP-2179</t>
  </si>
  <si>
    <t>Rajesh Patil</t>
  </si>
  <si>
    <t>EMP-2180</t>
  </si>
  <si>
    <t>Shreya Nair</t>
  </si>
  <si>
    <t>EMP-2181</t>
  </si>
  <si>
    <t>Nikhil Mishra</t>
  </si>
  <si>
    <t>EMP-2182</t>
  </si>
  <si>
    <t>Anil Shinde</t>
  </si>
  <si>
    <t>EMP-2183</t>
  </si>
  <si>
    <t>Sneha Pillai</t>
  </si>
  <si>
    <t>EMP-2184</t>
  </si>
  <si>
    <t>Santosh Joshi</t>
  </si>
  <si>
    <t>EMP-2185</t>
  </si>
  <si>
    <t>Vijay Pawar</t>
  </si>
  <si>
    <t>EMP-2186</t>
  </si>
  <si>
    <t>Ravi Kadam</t>
  </si>
  <si>
    <t>EMP-2187</t>
  </si>
  <si>
    <t>Rajesh Nair</t>
  </si>
  <si>
    <t>EMP-2188</t>
  </si>
  <si>
    <t>Neha Shinde</t>
  </si>
  <si>
    <t>EMP-2189</t>
  </si>
  <si>
    <t>Santosh Patil</t>
  </si>
  <si>
    <t>EMP-2190</t>
  </si>
  <si>
    <t>EMP-2191</t>
  </si>
  <si>
    <t>EMP-2192</t>
  </si>
  <si>
    <t>Tarun Jadhav</t>
  </si>
  <si>
    <t>EMP-2193</t>
  </si>
  <si>
    <t>Rahul Khan</t>
  </si>
  <si>
    <t>EMP-2194</t>
  </si>
  <si>
    <t>Vijay Joshi</t>
  </si>
  <si>
    <t>EMP-2195</t>
  </si>
  <si>
    <t>EMP-2196</t>
  </si>
  <si>
    <t>Divya Jadhav</t>
  </si>
  <si>
    <t>EMP-2197</t>
  </si>
  <si>
    <t>Rajesh Tiwari</t>
  </si>
  <si>
    <t>EMP-2198</t>
  </si>
  <si>
    <t>EMP-2199</t>
  </si>
  <si>
    <t>Rohit Bose</t>
  </si>
  <si>
    <t>EMP-2200</t>
  </si>
  <si>
    <t>Geeta Deshpande</t>
  </si>
  <si>
    <t>EMP-2201</t>
  </si>
  <si>
    <t>EMP-2202</t>
  </si>
  <si>
    <t>Shreya Joshi</t>
  </si>
  <si>
    <t>EMP-2203</t>
  </si>
  <si>
    <t>Priya Khan</t>
  </si>
  <si>
    <t>EMP-2204</t>
  </si>
  <si>
    <t>EMP-2205</t>
  </si>
  <si>
    <t>Anjali Deshpande</t>
  </si>
  <si>
    <t>EMP-2206</t>
  </si>
  <si>
    <t>Vijay Shinde</t>
  </si>
  <si>
    <t>EMP-2207</t>
  </si>
  <si>
    <t>Rekha Tiwari</t>
  </si>
  <si>
    <t>EMP-2208</t>
  </si>
  <si>
    <t>EMP-2209</t>
  </si>
  <si>
    <t>Anjali Khan</t>
  </si>
  <si>
    <t>EMP-2210</t>
  </si>
  <si>
    <t>Sneha Deshpande</t>
  </si>
  <si>
    <t>EMP-2211</t>
  </si>
  <si>
    <t>Vijay Pillai</t>
  </si>
  <si>
    <t>EMP-2212</t>
  </si>
  <si>
    <t>Santosh Verma</t>
  </si>
  <si>
    <t>EMP-2213</t>
  </si>
  <si>
    <t>EMP-2214</t>
  </si>
  <si>
    <t>Suresh Khan</t>
  </si>
  <si>
    <t>EMP-2215</t>
  </si>
  <si>
    <t>Priya Yadav</t>
  </si>
  <si>
    <t>EMP-2216</t>
  </si>
  <si>
    <t>EMP-2217</t>
  </si>
  <si>
    <t>EMP-2218</t>
  </si>
  <si>
    <t>Rekha Bose</t>
  </si>
  <si>
    <t>EMP-2219</t>
  </si>
  <si>
    <t>Sneha Pawar</t>
  </si>
  <si>
    <t>EMP-2220</t>
  </si>
  <si>
    <t>Karan Pillai</t>
  </si>
  <si>
    <t>EMP-2221</t>
  </si>
  <si>
    <t>Anita Bhosale</t>
  </si>
  <si>
    <t>Sep</t>
  </si>
  <si>
    <t>EMP-2222</t>
  </si>
  <si>
    <t>Manish Gupta</t>
  </si>
  <si>
    <t>EMP-2223</t>
  </si>
  <si>
    <t>EMP-2224</t>
  </si>
  <si>
    <t>Santosh More</t>
  </si>
  <si>
    <t>EMP-2225</t>
  </si>
  <si>
    <t>Ravi Pawar</t>
  </si>
  <si>
    <t>EMP-2226</t>
  </si>
  <si>
    <t>EMP-2227</t>
  </si>
  <si>
    <t>Sneha Patil</t>
  </si>
  <si>
    <t>EMP-2228</t>
  </si>
  <si>
    <t>Geeta Bhosale</t>
  </si>
  <si>
    <t>EMP-2229</t>
  </si>
  <si>
    <t>Tarun Deshpande</t>
  </si>
  <si>
    <t>EMP-2230</t>
  </si>
  <si>
    <t>EMP-2231</t>
  </si>
  <si>
    <t>Rajesh Rao</t>
  </si>
  <si>
    <t>EMP-2232</t>
  </si>
  <si>
    <t>Neha Tiwari</t>
  </si>
  <si>
    <t>EMP-2233</t>
  </si>
  <si>
    <t>Sunita Tiwari</t>
  </si>
  <si>
    <t>EMP-2234</t>
  </si>
  <si>
    <t>Manish Jadhav</t>
  </si>
  <si>
    <t>EMP-2235</t>
  </si>
  <si>
    <t>EMP-2236</t>
  </si>
  <si>
    <t>Vijay Jadhav</t>
  </si>
  <si>
    <t>EMP-2237</t>
  </si>
  <si>
    <t>Rohit Patil</t>
  </si>
  <si>
    <t>EMP-2238</t>
  </si>
  <si>
    <t>Rekha Yadav</t>
  </si>
  <si>
    <t>EMP-2239</t>
  </si>
  <si>
    <t>Shreya Iyer</t>
  </si>
  <si>
    <t>EMP-2240</t>
  </si>
  <si>
    <t>Pallavi Gaikwad</t>
  </si>
  <si>
    <t>EMP-2241</t>
  </si>
  <si>
    <t>Pallavi Pawar</t>
  </si>
  <si>
    <t>EMP-2242</t>
  </si>
  <si>
    <t>Nikhil Nair</t>
  </si>
  <si>
    <t>EMP-2243</t>
  </si>
  <si>
    <t>Karan Bhosale</t>
  </si>
  <si>
    <t>EMP-2244</t>
  </si>
  <si>
    <t>Meena Shinde</t>
  </si>
  <si>
    <t>EMP-2245</t>
  </si>
  <si>
    <t>Rajesh Gaikwad</t>
  </si>
  <si>
    <t>EMP-2246</t>
  </si>
  <si>
    <t>EMP-2247</t>
  </si>
  <si>
    <t>Santosh Desai</t>
  </si>
  <si>
    <t>EMP-2248</t>
  </si>
  <si>
    <t>Anjali More</t>
  </si>
  <si>
    <t>EMP-2249</t>
  </si>
  <si>
    <t>Vikram Sawant</t>
  </si>
  <si>
    <t>EMP-2250</t>
  </si>
  <si>
    <t>EMP-2251</t>
  </si>
  <si>
    <t>Vijay Gupta</t>
  </si>
  <si>
    <t>EMP-2252</t>
  </si>
  <si>
    <t>Geeta Mehta</t>
  </si>
  <si>
    <t>EMP-2253</t>
  </si>
  <si>
    <t>Deepak Bose</t>
  </si>
  <si>
    <t>EMP-2254</t>
  </si>
  <si>
    <t>Rahul More</t>
  </si>
  <si>
    <t>EMP-2255</t>
  </si>
  <si>
    <t>Rajesh More</t>
  </si>
  <si>
    <t>EMP-2256</t>
  </si>
  <si>
    <t>Anjali Patil</t>
  </si>
  <si>
    <t>EMP-2257</t>
  </si>
  <si>
    <t>Pooja Yadav</t>
  </si>
  <si>
    <t>EMP-2258</t>
  </si>
  <si>
    <t>Karan Kadam</t>
  </si>
  <si>
    <t>EMP-2259</t>
  </si>
  <si>
    <t>EMP-2260</t>
  </si>
  <si>
    <t>Pallavi Sawant</t>
  </si>
  <si>
    <t>EMP-2261</t>
  </si>
  <si>
    <t>Tarun Tiwari</t>
  </si>
  <si>
    <t>EMP-2262</t>
  </si>
  <si>
    <t>Divya Kadam</t>
  </si>
  <si>
    <t>EMP-2263</t>
  </si>
  <si>
    <t>Ravi Tiwari</t>
  </si>
  <si>
    <t>EMP-2264</t>
  </si>
  <si>
    <t>Nikhil Tiwari</t>
  </si>
  <si>
    <t>EMP-2265</t>
  </si>
  <si>
    <t>Anjali Nair</t>
  </si>
  <si>
    <t>EMP-2266</t>
  </si>
  <si>
    <t>Geeta Joshi</t>
  </si>
  <si>
    <t>EMP-2267</t>
  </si>
  <si>
    <t>Tarun Iyer</t>
  </si>
  <si>
    <t>EMP-2268</t>
  </si>
  <si>
    <t>Sunita Desai</t>
  </si>
  <si>
    <t>EMP-2269</t>
  </si>
  <si>
    <t>Rohit Mishra</t>
  </si>
  <si>
    <t>EMP-2270</t>
  </si>
  <si>
    <t>Karan Iyer</t>
  </si>
  <si>
    <t>Oct</t>
  </si>
  <si>
    <t>EMP-2271</t>
  </si>
  <si>
    <t>EMP-2272</t>
  </si>
  <si>
    <t>Manish Bose</t>
  </si>
  <si>
    <t>EMP-2273</t>
  </si>
  <si>
    <t>EMP-2274</t>
  </si>
  <si>
    <t>Deepak Kulkarni</t>
  </si>
  <si>
    <t>EMP-2275</t>
  </si>
  <si>
    <t>Rahul Kulkarni</t>
  </si>
  <si>
    <t>EMP-2276</t>
  </si>
  <si>
    <t>Divya Shinde</t>
  </si>
  <si>
    <t>EMP-2277</t>
  </si>
  <si>
    <t>Suresh Jadhav</t>
  </si>
  <si>
    <t>EMP-2278</t>
  </si>
  <si>
    <t>EMP-2279</t>
  </si>
  <si>
    <t>Suresh Pawar</t>
  </si>
  <si>
    <t>EMP-2280</t>
  </si>
  <si>
    <t>Pooja Joshi</t>
  </si>
  <si>
    <t>EMP-2281</t>
  </si>
  <si>
    <t>Vikram Sharma</t>
  </si>
  <si>
    <t>EMP-2282</t>
  </si>
  <si>
    <t>Santosh Tiwari</t>
  </si>
  <si>
    <t>EMP-2283</t>
  </si>
  <si>
    <t>EMP-2284</t>
  </si>
  <si>
    <t>Nikhil Bose</t>
  </si>
  <si>
    <t>EMP-2285</t>
  </si>
  <si>
    <t>EMP-2286</t>
  </si>
  <si>
    <t>Vijay Patel</t>
  </si>
  <si>
    <t>EMP-2287</t>
  </si>
  <si>
    <t>Sneha Desai</t>
  </si>
  <si>
    <t>EMP-2288</t>
  </si>
  <si>
    <t>Asha Rao</t>
  </si>
  <si>
    <t>EMP-2289</t>
  </si>
  <si>
    <t>Anita More</t>
  </si>
  <si>
    <t>EMP-2290</t>
  </si>
  <si>
    <t>EMP-2291</t>
  </si>
  <si>
    <t>EMP-2292</t>
  </si>
  <si>
    <t>Amit Patel</t>
  </si>
  <si>
    <t>EMP-2293</t>
  </si>
  <si>
    <t>Vikram Desai</t>
  </si>
  <si>
    <t>EMP-2294</t>
  </si>
  <si>
    <t>Vikram Patel</t>
  </si>
  <si>
    <t>EMP-2295</t>
  </si>
  <si>
    <t>Meena Patel</t>
  </si>
  <si>
    <t>EMP-2296</t>
  </si>
  <si>
    <t>Anil Kulkarni</t>
  </si>
  <si>
    <t>EMP-2297</t>
  </si>
  <si>
    <t>Rajesh Bhosale</t>
  </si>
  <si>
    <t>EMP-2298</t>
  </si>
  <si>
    <t>EMP-2299</t>
  </si>
  <si>
    <t>EMP-2300</t>
  </si>
  <si>
    <t>EMP-2301</t>
  </si>
  <si>
    <t>Pallavi Gupta</t>
  </si>
  <si>
    <t>EMP-2302</t>
  </si>
  <si>
    <t>Pallavi Desai</t>
  </si>
  <si>
    <t>EMP-2303</t>
  </si>
  <si>
    <t>Pooja Iyer</t>
  </si>
  <si>
    <t>EMP-2304</t>
  </si>
  <si>
    <t>Meena Rao</t>
  </si>
  <si>
    <t>EMP-2305</t>
  </si>
  <si>
    <t>EMP-2306</t>
  </si>
  <si>
    <t>EMP-2307</t>
  </si>
  <si>
    <t>EMP-2308</t>
  </si>
  <si>
    <t>Amit Rao</t>
  </si>
  <si>
    <t>EMP-2309</t>
  </si>
  <si>
    <t>Santosh Shinde</t>
  </si>
  <si>
    <t>EMP-2310</t>
  </si>
  <si>
    <t>Rahul Joshi</t>
  </si>
  <si>
    <t>EMP-2311</t>
  </si>
  <si>
    <t>EMP-2312</t>
  </si>
  <si>
    <t>Ravi Desai</t>
  </si>
  <si>
    <t>EMP-2313</t>
  </si>
  <si>
    <t>Ravi Bose</t>
  </si>
  <si>
    <t>EMP-2314</t>
  </si>
  <si>
    <t>Pooja Jadhav</t>
  </si>
  <si>
    <t>EMP-2315</t>
  </si>
  <si>
    <t>Meena Khan</t>
  </si>
  <si>
    <t>EMP-2316</t>
  </si>
  <si>
    <t>EMP-2317</t>
  </si>
  <si>
    <t>Geeta Sawant</t>
  </si>
  <si>
    <t>EMP-2318</t>
  </si>
  <si>
    <t>Vikram Malhotra</t>
  </si>
  <si>
    <t>EMP-2319</t>
  </si>
  <si>
    <t>Nov</t>
  </si>
  <si>
    <t>EMP-2320</t>
  </si>
  <si>
    <t>Geeta Yadav</t>
  </si>
  <si>
    <t>EMP-2321</t>
  </si>
  <si>
    <t>EMP-2322</t>
  </si>
  <si>
    <t>EMP-2323</t>
  </si>
  <si>
    <t>Divya Verma</t>
  </si>
  <si>
    <t>EMP-2324</t>
  </si>
  <si>
    <t>Manish Iyer</t>
  </si>
  <si>
    <t>EMP-2325</t>
  </si>
  <si>
    <t>Anil Nair</t>
  </si>
  <si>
    <t>EMP-2326</t>
  </si>
  <si>
    <t>EMP-2327</t>
  </si>
  <si>
    <t>Anita Patil</t>
  </si>
  <si>
    <t>EMP-2328</t>
  </si>
  <si>
    <t>EMP-2329</t>
  </si>
  <si>
    <t>Neha Desai</t>
  </si>
  <si>
    <t>EMP-2330</t>
  </si>
  <si>
    <t>EMP-2331</t>
  </si>
  <si>
    <t>Shreya Patel</t>
  </si>
  <si>
    <t>EMP-2332</t>
  </si>
  <si>
    <t>Ravi Malhotra</t>
  </si>
  <si>
    <t>EMP-2333</t>
  </si>
  <si>
    <t>Pallavi Jadhav</t>
  </si>
  <si>
    <t>EMP-2334</t>
  </si>
  <si>
    <t>Shreya Singh</t>
  </si>
  <si>
    <t>EMP-2335</t>
  </si>
  <si>
    <t>EMP-2336</t>
  </si>
  <si>
    <t>Santosh Nair</t>
  </si>
  <si>
    <t>EMP-2337</t>
  </si>
  <si>
    <t>Anil Bose</t>
  </si>
  <si>
    <t>EMP-2338</t>
  </si>
  <si>
    <t>Asha Jadhav</t>
  </si>
  <si>
    <t>EMP-2339</t>
  </si>
  <si>
    <t>Suresh Pillai</t>
  </si>
  <si>
    <t>EMP-2340</t>
  </si>
  <si>
    <t>Rahul Jadhav</t>
  </si>
  <si>
    <t>EMP-2341</t>
  </si>
  <si>
    <t>Suresh Gaikwad</t>
  </si>
  <si>
    <t>EMP-2342</t>
  </si>
  <si>
    <t>Amit Verma</t>
  </si>
  <si>
    <t>EMP-2343</t>
  </si>
  <si>
    <t>Nikhil Joshi</t>
  </si>
  <si>
    <t>EMP-2344</t>
  </si>
  <si>
    <t>Manish Kulkarni</t>
  </si>
  <si>
    <t>EMP-2345</t>
  </si>
  <si>
    <t>EMP-2346</t>
  </si>
  <si>
    <t>EMP-2347</t>
  </si>
  <si>
    <t>EMP-2348</t>
  </si>
  <si>
    <t>Neha More</t>
  </si>
  <si>
    <t>EMP-2349</t>
  </si>
  <si>
    <t>Pooja Pillai</t>
  </si>
  <si>
    <t>EMP-2350</t>
  </si>
  <si>
    <t>Neha Agarwal</t>
  </si>
  <si>
    <t>EMP-2351</t>
  </si>
  <si>
    <t>EMP-2352</t>
  </si>
  <si>
    <t>Nikhil Pillai</t>
  </si>
  <si>
    <t>EMP-2353</t>
  </si>
  <si>
    <t>Karan Yadav</t>
  </si>
  <si>
    <t>EMP-2354</t>
  </si>
  <si>
    <t>EMP-2355</t>
  </si>
  <si>
    <t>Amit Jadhav</t>
  </si>
  <si>
    <t>EMP-2356</t>
  </si>
  <si>
    <t>EMP-2357</t>
  </si>
  <si>
    <t>Deepak Joshi</t>
  </si>
  <si>
    <t>EMP-2358</t>
  </si>
  <si>
    <t>EMP-2359</t>
  </si>
  <si>
    <t>Rajesh Deshpande</t>
  </si>
  <si>
    <t>EMP-2360</t>
  </si>
  <si>
    <t>EMP-2361</t>
  </si>
  <si>
    <t>Pooja Patel</t>
  </si>
  <si>
    <t>Dec</t>
  </si>
  <si>
    <t>EMP-2362</t>
  </si>
  <si>
    <t>Santosh Rao</t>
  </si>
  <si>
    <t>EMP-2363</t>
  </si>
  <si>
    <t>Tarun Shinde</t>
  </si>
  <si>
    <t>EMP-2364</t>
  </si>
  <si>
    <t>Santosh Pawar</t>
  </si>
  <si>
    <t>EMP-2365</t>
  </si>
  <si>
    <t>Tarun Pawar</t>
  </si>
  <si>
    <t>EMP-2366</t>
  </si>
  <si>
    <t>EMP-2367</t>
  </si>
  <si>
    <t>Kavya Sharma</t>
  </si>
  <si>
    <t>EMP-2368</t>
  </si>
  <si>
    <t>EMP-2369</t>
  </si>
  <si>
    <t>Neha Malhotra</t>
  </si>
  <si>
    <t>EMP-2370</t>
  </si>
  <si>
    <t>EMP-2371</t>
  </si>
  <si>
    <t>Amit Patil</t>
  </si>
  <si>
    <t>EMP-2372</t>
  </si>
  <si>
    <t>EMP-2373</t>
  </si>
  <si>
    <t>EMP-2374</t>
  </si>
  <si>
    <t>EMP-2375</t>
  </si>
  <si>
    <t>EMP-2376</t>
  </si>
  <si>
    <t>EMP-2377</t>
  </si>
  <si>
    <t>Priya Deshpande</t>
  </si>
  <si>
    <t>EMP-2378</t>
  </si>
  <si>
    <t>Karan Rao</t>
  </si>
  <si>
    <t>EMP-2379</t>
  </si>
  <si>
    <t>EMP-2380</t>
  </si>
  <si>
    <t>EMP-2381</t>
  </si>
  <si>
    <t>EMP-2382</t>
  </si>
  <si>
    <t>EMP-2383</t>
  </si>
  <si>
    <t>Anjali Shinde</t>
  </si>
  <si>
    <t>EMP-2384</t>
  </si>
  <si>
    <t>EMP-2385</t>
  </si>
  <si>
    <t>Santosh Gaikwad</t>
  </si>
  <si>
    <t>EMP-2386</t>
  </si>
  <si>
    <t>EMP-2387</t>
  </si>
  <si>
    <t>Anita Iyer</t>
  </si>
  <si>
    <t>EMP-2388</t>
  </si>
  <si>
    <t>Sunita Patil</t>
  </si>
  <si>
    <t>EMP-2389</t>
  </si>
  <si>
    <t>EMP-2390</t>
  </si>
  <si>
    <t>EMP-2391</t>
  </si>
  <si>
    <t>Amit Bhosale</t>
  </si>
  <si>
    <t>EMP-2392</t>
  </si>
  <si>
    <t>Priya Bhosale</t>
  </si>
  <si>
    <t>EMP-2393</t>
  </si>
  <si>
    <t>EMP-2394</t>
  </si>
  <si>
    <t>EMP-2395</t>
  </si>
  <si>
    <t>EMP-2396</t>
  </si>
  <si>
    <t>EMP-2397</t>
  </si>
  <si>
    <t>Anita Rao</t>
  </si>
  <si>
    <t>EMP-2398</t>
  </si>
  <si>
    <t>EMP-2399</t>
  </si>
  <si>
    <t>EMP-2400</t>
  </si>
  <si>
    <t>Priya Nair</t>
  </si>
  <si>
    <t>EMP-2401</t>
  </si>
  <si>
    <t>Sunita Bose</t>
  </si>
  <si>
    <t>EMP-2402</t>
  </si>
  <si>
    <t>Ravi Jadhav</t>
  </si>
  <si>
    <t>EMP-2403</t>
  </si>
  <si>
    <t>Deepak Gupta</t>
  </si>
  <si>
    <t>EMP-2404</t>
  </si>
  <si>
    <t>EMP-2405</t>
  </si>
  <si>
    <t>EMP-2406</t>
  </si>
  <si>
    <t>Vijay Khan</t>
  </si>
  <si>
    <t>Jan</t>
  </si>
  <si>
    <t>EMP-2407</t>
  </si>
  <si>
    <t>Divya Rao</t>
  </si>
  <si>
    <t>EMP-2408</t>
  </si>
  <si>
    <t>EMP-2409</t>
  </si>
  <si>
    <t>Meena Verma</t>
  </si>
  <si>
    <t>EMP-2410</t>
  </si>
  <si>
    <t>Rekha Singh</t>
  </si>
  <si>
    <t>EMP-2411</t>
  </si>
  <si>
    <t>Sunita Nair</t>
  </si>
  <si>
    <t>EMP-2412</t>
  </si>
  <si>
    <t>EMP-2413</t>
  </si>
  <si>
    <t>Rahul Patel</t>
  </si>
  <si>
    <t>EMP-2414</t>
  </si>
  <si>
    <t>Meena Deshpande</t>
  </si>
  <si>
    <t>EMP-2415</t>
  </si>
  <si>
    <t>EMP-2416</t>
  </si>
  <si>
    <t>EMP-2417</t>
  </si>
  <si>
    <t>EMP-2418</t>
  </si>
  <si>
    <t>EMP-2419</t>
  </si>
  <si>
    <t>Asha Malhotra</t>
  </si>
  <si>
    <t>EMP-2420</t>
  </si>
  <si>
    <t>EMP-2421</t>
  </si>
  <si>
    <t>Rahul Shinde</t>
  </si>
  <si>
    <t>EMP-2422</t>
  </si>
  <si>
    <t>Deepak Singh</t>
  </si>
  <si>
    <t>EMP-2423</t>
  </si>
  <si>
    <t>Rahul Desai</t>
  </si>
  <si>
    <t>EMP-2424</t>
  </si>
  <si>
    <t>EMP-2425</t>
  </si>
  <si>
    <t>Pooja Kulkarni</t>
  </si>
  <si>
    <t>EMP-2426</t>
  </si>
  <si>
    <t>Ravi Nair</t>
  </si>
  <si>
    <t>EMP-2427</t>
  </si>
  <si>
    <t>Rohit Bhosale</t>
  </si>
  <si>
    <t>EMP-2428</t>
  </si>
  <si>
    <t>EMP-2429</t>
  </si>
  <si>
    <t>Rekha Deshpande</t>
  </si>
  <si>
    <t>EMP-2430</t>
  </si>
  <si>
    <t>Sneha Agarwal</t>
  </si>
  <si>
    <t>EMP-2431</t>
  </si>
  <si>
    <t>Santosh Singh</t>
  </si>
  <si>
    <t>EMP-2432</t>
  </si>
  <si>
    <t>Rekha Mehta</t>
  </si>
  <si>
    <t>EMP-2433</t>
  </si>
  <si>
    <t>Deepak Pawar</t>
  </si>
  <si>
    <t>EMP-2434</t>
  </si>
  <si>
    <t>Pallavi Yadav</t>
  </si>
  <si>
    <t>EMP-2435</t>
  </si>
  <si>
    <t>EMP-2436</t>
  </si>
  <si>
    <t>Ravi Gaikwad</t>
  </si>
  <si>
    <t>EMP-2437</t>
  </si>
  <si>
    <t>Vikram Mishra</t>
  </si>
  <si>
    <t>EMP-2438</t>
  </si>
  <si>
    <t>EMP-2439</t>
  </si>
  <si>
    <t>Anjali Rao</t>
  </si>
  <si>
    <t>EMP-2440</t>
  </si>
  <si>
    <t>Rekha Bhosale</t>
  </si>
  <si>
    <t>EMP-2441</t>
  </si>
  <si>
    <t>Rajesh Jadhav</t>
  </si>
  <si>
    <t>EMP-2442</t>
  </si>
  <si>
    <t>EMP-2443</t>
  </si>
  <si>
    <t>EMP-2444</t>
  </si>
  <si>
    <t>EMP-2445</t>
  </si>
  <si>
    <t>Anil Sawant</t>
  </si>
  <si>
    <t>EMP-2446</t>
  </si>
  <si>
    <t>Meena Gupta</t>
  </si>
  <si>
    <t>EMP-2447</t>
  </si>
  <si>
    <t>EMP-2448</t>
  </si>
  <si>
    <t>EMP-2449</t>
  </si>
  <si>
    <t>Rekha Rao</t>
  </si>
  <si>
    <t>EMP-2450</t>
  </si>
  <si>
    <t>Rekha Sharma</t>
  </si>
  <si>
    <t>EMP-2451</t>
  </si>
  <si>
    <t>EMP-2452</t>
  </si>
  <si>
    <t>Anita Kulkarni</t>
  </si>
  <si>
    <t>EMP-2453</t>
  </si>
  <si>
    <t>EMP-2454</t>
  </si>
  <si>
    <t>Anil Yadav</t>
  </si>
  <si>
    <t>Feb</t>
  </si>
  <si>
    <t>EMP-2455</t>
  </si>
  <si>
    <t>Geeta Patil</t>
  </si>
  <si>
    <t>EMP-2456</t>
  </si>
  <si>
    <t>Divya Pawar</t>
  </si>
  <si>
    <t>EMP-2457</t>
  </si>
  <si>
    <t>Suresh Singh</t>
  </si>
  <si>
    <t>EMP-2458</t>
  </si>
  <si>
    <t>Suresh Shinde</t>
  </si>
  <si>
    <t>EMP-2459</t>
  </si>
  <si>
    <t>Vijay Bose</t>
  </si>
  <si>
    <t>EMP-2460</t>
  </si>
  <si>
    <t>EMP-2461</t>
  </si>
  <si>
    <t>EMP-2462</t>
  </si>
  <si>
    <t>EMP-2463</t>
  </si>
  <si>
    <t>Priya Sawant</t>
  </si>
  <si>
    <t>EMP-2464</t>
  </si>
  <si>
    <t>EMP-2465</t>
  </si>
  <si>
    <t>EMP-2466</t>
  </si>
  <si>
    <t>Geeta Jadhav</t>
  </si>
  <si>
    <t>EMP-2467</t>
  </si>
  <si>
    <t>EMP-2468</t>
  </si>
  <si>
    <t>EMP-2469</t>
  </si>
  <si>
    <t>Shreya Yadav</t>
  </si>
  <si>
    <t>EMP-2470</t>
  </si>
  <si>
    <t>Manish More</t>
  </si>
  <si>
    <t>EMP-2471</t>
  </si>
  <si>
    <t>Anil Gaikwad</t>
  </si>
  <si>
    <t>EMP-2472</t>
  </si>
  <si>
    <t>Kavya Rao</t>
  </si>
  <si>
    <t>EMP-2473</t>
  </si>
  <si>
    <t>EMP-2474</t>
  </si>
  <si>
    <t>EMP-2475</t>
  </si>
  <si>
    <t>Vijay Verma</t>
  </si>
  <si>
    <t>EMP-2476</t>
  </si>
  <si>
    <t>EMP-2477</t>
  </si>
  <si>
    <t>EMP-2478</t>
  </si>
  <si>
    <t>Manish Yadav</t>
  </si>
  <si>
    <t>EMP-2479</t>
  </si>
  <si>
    <t>Sunita Verma</t>
  </si>
  <si>
    <t>EMP-2480</t>
  </si>
  <si>
    <t>Rohit Gaikwad</t>
  </si>
  <si>
    <t>EMP-2481</t>
  </si>
  <si>
    <t>EMP-2482</t>
  </si>
  <si>
    <t>Sneha Singh</t>
  </si>
  <si>
    <t>EMP-2483</t>
  </si>
  <si>
    <t>EMP-2484</t>
  </si>
  <si>
    <t>Rahul Tiwari</t>
  </si>
  <si>
    <t>EMP-2485</t>
  </si>
  <si>
    <t>Anil Tiwari</t>
  </si>
  <si>
    <t>EMP-2486</t>
  </si>
  <si>
    <t>EMP-2487</t>
  </si>
  <si>
    <t>EMP-2488</t>
  </si>
  <si>
    <t>Vijay Mehta</t>
  </si>
  <si>
    <t>EMP-2489</t>
  </si>
  <si>
    <t>Karan Bose</t>
  </si>
  <si>
    <t>EMP-2490</t>
  </si>
  <si>
    <t>Rajesh Singh</t>
  </si>
  <si>
    <t>EMP-2491</t>
  </si>
  <si>
    <t>EMP-2492</t>
  </si>
  <si>
    <t>Anjali Pawar</t>
  </si>
  <si>
    <t>EMP-2493</t>
  </si>
  <si>
    <t>EMP-2494</t>
  </si>
  <si>
    <t>EMP-2495</t>
  </si>
  <si>
    <t>Nikhil Kulkarni</t>
  </si>
  <si>
    <t>EMP-2496</t>
  </si>
  <si>
    <t>EMP-2497</t>
  </si>
  <si>
    <t>Deepak Verma</t>
  </si>
  <si>
    <t>EMP-2498</t>
  </si>
  <si>
    <t>EMP-2499</t>
  </si>
  <si>
    <t>Anjali Gupta</t>
  </si>
  <si>
    <t>EMP-2500</t>
  </si>
  <si>
    <t>Kavya More</t>
  </si>
  <si>
    <t>EMP-2501</t>
  </si>
  <si>
    <t>Mar</t>
  </si>
  <si>
    <t>EMP-2502</t>
  </si>
  <si>
    <t>Manish Desai</t>
  </si>
  <si>
    <t>EMP-2503</t>
  </si>
  <si>
    <t>EMP-2504</t>
  </si>
  <si>
    <t>Priya More</t>
  </si>
  <si>
    <t>EMP-2505</t>
  </si>
  <si>
    <t>Priya Bose</t>
  </si>
  <si>
    <t>EMP-2506</t>
  </si>
  <si>
    <t>Anil Deshpande</t>
  </si>
  <si>
    <t>EMP-2507</t>
  </si>
  <si>
    <t>EMP-2508</t>
  </si>
  <si>
    <t>Pallavi Rao</t>
  </si>
  <si>
    <t>EMP-2509</t>
  </si>
  <si>
    <t>Sunita Deshpande</t>
  </si>
  <si>
    <t>EMP-2510</t>
  </si>
  <si>
    <t>Geeta More</t>
  </si>
  <si>
    <t>EMP-2511</t>
  </si>
  <si>
    <t>EMP-2512</t>
  </si>
  <si>
    <t>EMP-2513</t>
  </si>
  <si>
    <t>EMP-2514</t>
  </si>
  <si>
    <t>Vikram Pillai</t>
  </si>
  <si>
    <t>EMP-2515</t>
  </si>
  <si>
    <t>Santosh Kadam</t>
  </si>
  <si>
    <t>EMP-2516</t>
  </si>
  <si>
    <t>EMP-2517</t>
  </si>
  <si>
    <t>EMP-2518</t>
  </si>
  <si>
    <t>EMP-2519</t>
  </si>
  <si>
    <t>EMP-2520</t>
  </si>
  <si>
    <t>EMP-2521</t>
  </si>
  <si>
    <t>Deepak Desai</t>
  </si>
  <si>
    <t>EMP-2522</t>
  </si>
  <si>
    <t>EMP-2523</t>
  </si>
  <si>
    <t>EMP-2524</t>
  </si>
  <si>
    <t>Neha Iyer</t>
  </si>
  <si>
    <t>EMP-2525</t>
  </si>
  <si>
    <t>EMP-2526</t>
  </si>
  <si>
    <t>Pallavi Mishra</t>
  </si>
  <si>
    <t>EMP-2527</t>
  </si>
  <si>
    <t>Pallavi Singh</t>
  </si>
  <si>
    <t>EMP-2528</t>
  </si>
  <si>
    <t>Asha Kadam</t>
  </si>
  <si>
    <t>EMP-2529</t>
  </si>
  <si>
    <t>Ravi Khan</t>
  </si>
  <si>
    <t>EMP-2530</t>
  </si>
  <si>
    <t>EMP-2531</t>
  </si>
  <si>
    <t>Karan Singh</t>
  </si>
  <si>
    <t>EMP-2532</t>
  </si>
  <si>
    <t>Sneha Mishra</t>
  </si>
  <si>
    <t>EMP-2533</t>
  </si>
  <si>
    <t>Sunita Khan</t>
  </si>
  <si>
    <t>EMP-2534</t>
  </si>
  <si>
    <t>EMP-2535</t>
  </si>
  <si>
    <t>Pooja Tiwari</t>
  </si>
  <si>
    <t>EMP-2536</t>
  </si>
  <si>
    <t>Manish Gaikwad</t>
  </si>
  <si>
    <t>EMP-2537</t>
  </si>
  <si>
    <t>Rohit Deshpande</t>
  </si>
  <si>
    <t>EMP-2538</t>
  </si>
  <si>
    <t>Anita Nair</t>
  </si>
  <si>
    <t>EMP-2539</t>
  </si>
  <si>
    <t>EMP-2540</t>
  </si>
  <si>
    <t>Meena Desai</t>
  </si>
  <si>
    <t>EMP-2541</t>
  </si>
  <si>
    <t>EMP-2542</t>
  </si>
  <si>
    <t>Divya Joshi</t>
  </si>
  <si>
    <t>Row Labels</t>
  </si>
  <si>
    <t>Grand Total</t>
  </si>
  <si>
    <t>Sum of Years of Experience</t>
  </si>
  <si>
    <t>AV</t>
  </si>
  <si>
    <t>Average of Leave Taken</t>
  </si>
  <si>
    <t>Count of Joining Month</t>
  </si>
  <si>
    <t>Count</t>
  </si>
  <si>
    <t>Details for Count - Performance Rating: Average</t>
  </si>
  <si>
    <t>Count of Employee Name</t>
  </si>
  <si>
    <t>Average of Salary (₹)</t>
  </si>
  <si>
    <t>Sum of Salary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</si>
</sst>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4009]\ * #,##0_ ;_ [$₹-4009]\ * \-#,##0_ ;_ [$₹-4009]\ * &quot;-&quot;??_ ;_ @_ "/>
  </numFmts>
  <fonts count="5" x14ac:knownFonts="1">
    <font>
      <sz val="11"/>
      <color theme="1"/>
      <name val="Calibri"/>
      <family val="2"/>
      <scheme val="minor"/>
    </font>
    <font>
      <b/>
      <sz val="11"/>
      <color theme="1"/>
      <name val="Calibri"/>
      <family val="2"/>
      <scheme val="minor"/>
    </font>
    <font>
      <b/>
      <sz val="11"/>
      <color rgb="FFFFFFFF"/>
      <name val="Arial"/>
    </font>
    <font>
      <sz val="10"/>
      <name val="Arial"/>
    </font>
    <font>
      <sz val="8"/>
      <color theme="1"/>
      <name val="Calibri"/>
      <family val="2"/>
      <scheme val="minor"/>
    </font>
  </fonts>
  <fills count="5">
    <fill>
      <patternFill patternType="none"/>
    </fill>
    <fill>
      <patternFill patternType="gray125"/>
    </fill>
    <fill>
      <patternFill patternType="solid">
        <fgColor rgb="FF6C3483"/>
      </patternFill>
    </fill>
    <fill>
      <patternFill patternType="solid">
        <fgColor rgb="FFEBF5FB"/>
      </patternFill>
    </fill>
    <fill>
      <patternFill patternType="solid">
        <fgColor rgb="FFFFFFFF"/>
      </patternFill>
    </fill>
  </fills>
  <borders count="13">
    <border>
      <left/>
      <right/>
      <top/>
      <bottom/>
      <diagonal/>
    </border>
    <border>
      <left/>
      <right/>
      <top/>
      <bottom style="thin">
        <color rgb="FFAAAAAA"/>
      </bottom>
      <diagonal/>
    </border>
    <border>
      <left style="thin">
        <color rgb="FFAAAAAA"/>
      </left>
      <right style="thin">
        <color rgb="FFAAAAAA"/>
      </right>
      <top style="thin">
        <color rgb="FFAAAAAA"/>
      </top>
      <bottom style="medium">
        <color rgb="FFFFD700"/>
      </bottom>
      <diagonal/>
    </border>
    <border>
      <left/>
      <right style="thin">
        <color rgb="FFAAAAAA"/>
      </right>
      <top/>
      <bottom style="thin">
        <color rgb="FFAAAAAA"/>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0">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3" fontId="3" fillId="3" borderId="3" xfId="0" applyNumberFormat="1" applyFont="1" applyFill="1" applyBorder="1" applyAlignment="1">
      <alignment horizontal="center" vertical="center"/>
    </xf>
    <xf numFmtId="0" fontId="3" fillId="4" borderId="3" xfId="0" applyFont="1" applyFill="1" applyBorder="1" applyAlignment="1">
      <alignment horizontal="center" vertical="center"/>
    </xf>
    <xf numFmtId="3" fontId="3" fillId="4" borderId="3"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164" fontId="0" fillId="0" borderId="0" xfId="0" pivotButton="1" applyNumberFormat="1"/>
    <xf numFmtId="164" fontId="0" fillId="0" borderId="0" xfId="0" applyNumberFormat="1"/>
    <xf numFmtId="164" fontId="0" fillId="0" borderId="0" xfId="0" applyNumberFormat="1"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0" fontId="4" fillId="0" borderId="0" xfId="0" applyFont="1"/>
    <xf numFmtId="0" fontId="1" fillId="0" borderId="0" xfId="0" applyFont="1"/>
    <xf numFmtId="165" fontId="0" fillId="0" borderId="0" xfId="0" applyNumberFormat="1"/>
    <xf numFmtId="164" fontId="0" fillId="0" borderId="0" xfId="0" applyNumberFormat="1" applyAlignment="1">
      <alignment horizontal="left" indent="1"/>
    </xf>
    <xf numFmtId="164" fontId="0" fillId="0" borderId="4" xfId="0" applyNumberFormat="1" applyBorder="1"/>
    <xf numFmtId="164" fontId="0" fillId="0" borderId="5"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12" xfId="0" applyNumberFormat="1" applyBorder="1"/>
    <xf numFmtId="0" fontId="2" fillId="2" borderId="1" xfId="0" applyFont="1" applyFill="1" applyBorder="1" applyAlignment="1">
      <alignment horizontal="center" vertical="center"/>
    </xf>
    <xf numFmtId="0" fontId="0" fillId="0" borderId="0" xfId="0" applyNumberFormat="1"/>
  </cellXfs>
  <cellStyles count="1">
    <cellStyle name="Normal" xfId="0" builtinId="0"/>
  </cellStyles>
  <dxfs count="68">
    <dxf>
      <numFmt numFmtId="1" formatCode="0"/>
    </dxf>
    <dxf>
      <numFmt numFmtId="1" formatCode="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3" formatCode="#,##0"/>
    </dxf>
    <dxf>
      <numFmt numFmtId="1" formatCode="0"/>
    </dxf>
    <dxf>
      <numFmt numFmtId="1" formatCode="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Dasbroad.xlsx]Sheet3!PivotTable11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Of Experiences  In Branch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FFFF00"/>
            </a:solidFill>
          </a:ln>
          <a:effectLst>
            <a:outerShdw blurRad="50800" dist="50800" dir="5400000" algn="ctr" rotWithShape="0">
              <a:schemeClr val="bg2"/>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solidFill>
                <a:srgbClr val="FFFF00"/>
              </a:solidFill>
            </a:ln>
            <a:effectLst>
              <a:outerShdw blurRad="50800" dist="50800" dir="5400000" algn="ctr" rotWithShape="0">
                <a:schemeClr val="bg2"/>
              </a:outerShdw>
            </a:effectLst>
          </c:spPr>
          <c:invertIfNegative val="0"/>
          <c:cat>
            <c:strRef>
              <c:f>Sheet3!$A$4:$A$12</c:f>
              <c:strCache>
                <c:ptCount val="8"/>
                <c:pt idx="0">
                  <c:v>Aurangabad</c:v>
                </c:pt>
                <c:pt idx="1">
                  <c:v>Kolhapur</c:v>
                </c:pt>
                <c:pt idx="2">
                  <c:v>Mumbai</c:v>
                </c:pt>
                <c:pt idx="3">
                  <c:v>Nagpur</c:v>
                </c:pt>
                <c:pt idx="4">
                  <c:v>Nashik</c:v>
                </c:pt>
                <c:pt idx="5">
                  <c:v>Navi Mumbai</c:v>
                </c:pt>
                <c:pt idx="6">
                  <c:v>Pune</c:v>
                </c:pt>
                <c:pt idx="7">
                  <c:v>Thane</c:v>
                </c:pt>
              </c:strCache>
            </c:strRef>
          </c:cat>
          <c:val>
            <c:numRef>
              <c:f>Sheet3!$B$4:$B$12</c:f>
              <c:numCache>
                <c:formatCode>General</c:formatCode>
                <c:ptCount val="8"/>
                <c:pt idx="0">
                  <c:v>650</c:v>
                </c:pt>
                <c:pt idx="1">
                  <c:v>615</c:v>
                </c:pt>
                <c:pt idx="2">
                  <c:v>535</c:v>
                </c:pt>
                <c:pt idx="3">
                  <c:v>487</c:v>
                </c:pt>
                <c:pt idx="4">
                  <c:v>612</c:v>
                </c:pt>
                <c:pt idx="5">
                  <c:v>624</c:v>
                </c:pt>
                <c:pt idx="6">
                  <c:v>692</c:v>
                </c:pt>
                <c:pt idx="7">
                  <c:v>613</c:v>
                </c:pt>
              </c:numCache>
            </c:numRef>
          </c:val>
          <c:extLst>
            <c:ext xmlns:c16="http://schemas.microsoft.com/office/drawing/2014/chart" uri="{C3380CC4-5D6E-409C-BE32-E72D297353CC}">
              <c16:uniqueId val="{00000000-F3CC-4BB1-9DA3-0AAF35B4BBC5}"/>
            </c:ext>
          </c:extLst>
        </c:ser>
        <c:dLbls>
          <c:showLegendKey val="0"/>
          <c:showVal val="0"/>
          <c:showCatName val="0"/>
          <c:showSerName val="0"/>
          <c:showPercent val="0"/>
          <c:showBubbleSize val="0"/>
        </c:dLbls>
        <c:gapWidth val="219"/>
        <c:axId val="1256185839"/>
        <c:axId val="1256186799"/>
      </c:barChart>
      <c:catAx>
        <c:axId val="125618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56186799"/>
        <c:crosses val="autoZero"/>
        <c:auto val="1"/>
        <c:lblAlgn val="ctr"/>
        <c:lblOffset val="100"/>
        <c:noMultiLvlLbl val="0"/>
      </c:catAx>
      <c:valAx>
        <c:axId val="125618679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561858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Dasbroad.xlsx]Sheet3!PivotTable12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chemeClr val="tx1"/>
                </a:solidFill>
                <a:latin typeface="Aparajita" panose="02020603050405020304" pitchFamily="18" charset="0"/>
                <a:cs typeface="Aparajita" panose="02020603050405020304" pitchFamily="18" charset="0"/>
              </a:rPr>
              <a:t>Leave Taken BY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Sheet3!$C$25</c:f>
              <c:strCache>
                <c:ptCount val="1"/>
                <c:pt idx="0">
                  <c:v>Total</c:v>
                </c:pt>
              </c:strCache>
            </c:strRef>
          </c:tx>
          <c:spPr>
            <a:solidFill>
              <a:schemeClr val="accent1"/>
            </a:solidFill>
            <a:ln>
              <a:noFill/>
            </a:ln>
            <a:effectLst/>
          </c:spPr>
          <c:invertIfNegative val="0"/>
          <c:cat>
            <c:strRef>
              <c:f>Sheet3!$B$26:$B$34</c:f>
              <c:strCache>
                <c:ptCount val="8"/>
                <c:pt idx="0">
                  <c:v>Admin</c:v>
                </c:pt>
                <c:pt idx="1">
                  <c:v>Customer Support</c:v>
                </c:pt>
                <c:pt idx="2">
                  <c:v>Finance</c:v>
                </c:pt>
                <c:pt idx="3">
                  <c:v>HR</c:v>
                </c:pt>
                <c:pt idx="4">
                  <c:v>IT</c:v>
                </c:pt>
                <c:pt idx="5">
                  <c:v>Marketing</c:v>
                </c:pt>
                <c:pt idx="6">
                  <c:v>Operations</c:v>
                </c:pt>
                <c:pt idx="7">
                  <c:v>Sales</c:v>
                </c:pt>
              </c:strCache>
            </c:strRef>
          </c:cat>
          <c:val>
            <c:numRef>
              <c:f>Sheet3!$C$26:$C$34</c:f>
              <c:numCache>
                <c:formatCode>0.0</c:formatCode>
                <c:ptCount val="8"/>
                <c:pt idx="0">
                  <c:v>6.1733333333333329</c:v>
                </c:pt>
                <c:pt idx="1">
                  <c:v>5.4743589743589745</c:v>
                </c:pt>
                <c:pt idx="2">
                  <c:v>5.6533333333333333</c:v>
                </c:pt>
                <c:pt idx="3">
                  <c:v>6.1904761904761907</c:v>
                </c:pt>
                <c:pt idx="4">
                  <c:v>5.8965517241379306</c:v>
                </c:pt>
                <c:pt idx="5">
                  <c:v>7.2631578947368425</c:v>
                </c:pt>
                <c:pt idx="6">
                  <c:v>6.1594202898550723</c:v>
                </c:pt>
                <c:pt idx="7">
                  <c:v>5.8955223880597014</c:v>
                </c:pt>
              </c:numCache>
            </c:numRef>
          </c:val>
          <c:extLst>
            <c:ext xmlns:c16="http://schemas.microsoft.com/office/drawing/2014/chart" uri="{C3380CC4-5D6E-409C-BE32-E72D297353CC}">
              <c16:uniqueId val="{00000000-4615-4577-91B5-90ECB856BAE9}"/>
            </c:ext>
          </c:extLst>
        </c:ser>
        <c:dLbls>
          <c:showLegendKey val="0"/>
          <c:showVal val="0"/>
          <c:showCatName val="0"/>
          <c:showSerName val="0"/>
          <c:showPercent val="0"/>
          <c:showBubbleSize val="0"/>
        </c:dLbls>
        <c:gapWidth val="182"/>
        <c:axId val="588285615"/>
        <c:axId val="588286575"/>
      </c:barChart>
      <c:catAx>
        <c:axId val="58828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86575"/>
        <c:crosses val="autoZero"/>
        <c:auto val="1"/>
        <c:lblAlgn val="ctr"/>
        <c:lblOffset val="100"/>
        <c:noMultiLvlLbl val="0"/>
      </c:catAx>
      <c:valAx>
        <c:axId val="58828657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8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Dasbroad.xlsx]Sheet3!PivotTable13</c:name>
    <c:fmtId val="4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Montly Hiring Trends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Sheet3!$Z$17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Sheet3!$Y$18:$Y$30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Sheet3!$Z$18:$Z$30</c:f>
              <c:numCache>
                <c:formatCode>0</c:formatCode>
                <c:ptCount val="12"/>
                <c:pt idx="0">
                  <c:v>48</c:v>
                </c:pt>
                <c:pt idx="1">
                  <c:v>47</c:v>
                </c:pt>
                <c:pt idx="2">
                  <c:v>42</c:v>
                </c:pt>
                <c:pt idx="3">
                  <c:v>42</c:v>
                </c:pt>
                <c:pt idx="4">
                  <c:v>46</c:v>
                </c:pt>
                <c:pt idx="5">
                  <c:v>45</c:v>
                </c:pt>
                <c:pt idx="6">
                  <c:v>42</c:v>
                </c:pt>
                <c:pt idx="7">
                  <c:v>45</c:v>
                </c:pt>
                <c:pt idx="8">
                  <c:v>49</c:v>
                </c:pt>
                <c:pt idx="9">
                  <c:v>49</c:v>
                </c:pt>
                <c:pt idx="10">
                  <c:v>42</c:v>
                </c:pt>
                <c:pt idx="11">
                  <c:v>45</c:v>
                </c:pt>
              </c:numCache>
            </c:numRef>
          </c:val>
          <c:smooth val="1"/>
          <c:extLst>
            <c:ext xmlns:c16="http://schemas.microsoft.com/office/drawing/2014/chart" uri="{C3380CC4-5D6E-409C-BE32-E72D297353CC}">
              <c16:uniqueId val="{00000000-3ABF-459C-A225-7977B06B1A16}"/>
            </c:ext>
          </c:extLst>
        </c:ser>
        <c:dLbls>
          <c:showLegendKey val="0"/>
          <c:showVal val="0"/>
          <c:showCatName val="0"/>
          <c:showSerName val="0"/>
          <c:showPercent val="0"/>
          <c:showBubbleSize val="0"/>
        </c:dLbls>
        <c:marker val="1"/>
        <c:smooth val="0"/>
        <c:axId val="588245775"/>
        <c:axId val="588249615"/>
      </c:lineChart>
      <c:catAx>
        <c:axId val="588245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49615"/>
        <c:crosses val="autoZero"/>
        <c:auto val="1"/>
        <c:lblAlgn val="ctr"/>
        <c:lblOffset val="100"/>
        <c:noMultiLvlLbl val="0"/>
      </c:catAx>
      <c:valAx>
        <c:axId val="588249615"/>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4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HR Dasbroad.xlsx]Sheet3!PivotTable14</c:name>
    <c:fmtId val="5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Performance Rating Distribution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Sheet3!$C$54</c:f>
              <c:strCache>
                <c:ptCount val="1"/>
                <c:pt idx="0">
                  <c:v>Total</c:v>
                </c:pt>
              </c:strCache>
            </c:strRef>
          </c:tx>
          <c:dPt>
            <c:idx val="0"/>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689-4F21-9503-BFBECD0E3938}"/>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689-4F21-9503-BFBECD0E3938}"/>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689-4F21-9503-BFBECD0E3938}"/>
              </c:ext>
            </c:extLst>
          </c:dPt>
          <c:dPt>
            <c:idx val="3"/>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689-4F21-9503-BFBECD0E3938}"/>
              </c:ext>
            </c:extLst>
          </c:dPt>
          <c:dPt>
            <c:idx val="4"/>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689-4F21-9503-BFBECD0E3938}"/>
              </c:ext>
            </c:extLst>
          </c:dPt>
          <c:cat>
            <c:strRef>
              <c:f>Sheet3!$B$55:$B$60</c:f>
              <c:strCache>
                <c:ptCount val="5"/>
                <c:pt idx="0">
                  <c:v>Average</c:v>
                </c:pt>
                <c:pt idx="1">
                  <c:v>Below Average</c:v>
                </c:pt>
                <c:pt idx="2">
                  <c:v>Excellent</c:v>
                </c:pt>
                <c:pt idx="3">
                  <c:v>Good</c:v>
                </c:pt>
                <c:pt idx="4">
                  <c:v>Poor</c:v>
                </c:pt>
              </c:strCache>
            </c:strRef>
          </c:cat>
          <c:val>
            <c:numRef>
              <c:f>Sheet3!$C$55:$C$60</c:f>
              <c:numCache>
                <c:formatCode>0</c:formatCode>
                <c:ptCount val="5"/>
                <c:pt idx="0">
                  <c:v>150</c:v>
                </c:pt>
                <c:pt idx="1">
                  <c:v>56</c:v>
                </c:pt>
                <c:pt idx="2">
                  <c:v>127</c:v>
                </c:pt>
                <c:pt idx="3">
                  <c:v>193</c:v>
                </c:pt>
                <c:pt idx="4">
                  <c:v>16</c:v>
                </c:pt>
              </c:numCache>
            </c:numRef>
          </c:val>
          <c:extLst>
            <c:ext xmlns:c16="http://schemas.microsoft.com/office/drawing/2014/chart" uri="{C3380CC4-5D6E-409C-BE32-E72D297353CC}">
              <c16:uniqueId val="{00000000-9625-4849-A1D7-C3885835D3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HR Dasbroad.xlsx]Sheet3!PivotTable11</c:name>
    <c:fmtId val="4"/>
  </c:pivotSource>
  <c:chart>
    <c:title>
      <c:tx>
        <c:rich>
          <a:bodyPr rot="0" spcFirstLastPara="1" vertOverflow="ellipsis" vert="horz" wrap="square" anchor="ctr" anchorCtr="1"/>
          <a:lstStyle/>
          <a:p>
            <a:pPr>
              <a:defRPr sz="2000" b="1" i="0" u="none" strike="noStrike" kern="1200" baseline="0">
                <a:solidFill>
                  <a:schemeClr val="tx1"/>
                </a:solidFill>
                <a:latin typeface="Aparajita" panose="02020603050405020304" pitchFamily="18" charset="0"/>
                <a:ea typeface="+mn-ea"/>
                <a:cs typeface="Aparajita" panose="02020603050405020304" pitchFamily="18" charset="0"/>
              </a:defRPr>
            </a:pPr>
            <a:r>
              <a:rPr lang="en-US" sz="2000">
                <a:solidFill>
                  <a:schemeClr val="tx1"/>
                </a:solidFill>
                <a:latin typeface="Aparajita" panose="02020603050405020304" pitchFamily="18" charset="0"/>
                <a:cs typeface="Aparajita" panose="02020603050405020304" pitchFamily="18" charset="0"/>
              </a:rPr>
              <a:t>Year Of Experiences  In Branch</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203200">
              <a:schemeClr val="accent4">
                <a:satMod val="175000"/>
                <a:alpha val="42000"/>
              </a:schemeClr>
            </a:glow>
            <a:outerShdw blurRad="50800" dist="63500" dir="3000000" algn="ctr" rotWithShape="0">
              <a:schemeClr val="accent5">
                <a:alpha val="43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203200">
                <a:schemeClr val="accent4">
                  <a:satMod val="175000"/>
                  <a:alpha val="42000"/>
                </a:schemeClr>
              </a:glow>
              <a:outerShdw blurRad="50800" dist="63500" dir="3000000" algn="ctr" rotWithShape="0">
                <a:schemeClr val="accent5">
                  <a:alpha val="43000"/>
                </a:schemeClr>
              </a:outerShdw>
              <a:softEdge rad="0"/>
            </a:effectLst>
          </c:spPr>
          <c:invertIfNegative val="0"/>
          <c:cat>
            <c:strRef>
              <c:f>Sheet3!$A$4:$A$12</c:f>
              <c:strCache>
                <c:ptCount val="8"/>
                <c:pt idx="0">
                  <c:v>Aurangabad</c:v>
                </c:pt>
                <c:pt idx="1">
                  <c:v>Kolhapur</c:v>
                </c:pt>
                <c:pt idx="2">
                  <c:v>Mumbai</c:v>
                </c:pt>
                <c:pt idx="3">
                  <c:v>Nagpur</c:v>
                </c:pt>
                <c:pt idx="4">
                  <c:v>Nashik</c:v>
                </c:pt>
                <c:pt idx="5">
                  <c:v>Navi Mumbai</c:v>
                </c:pt>
                <c:pt idx="6">
                  <c:v>Pune</c:v>
                </c:pt>
                <c:pt idx="7">
                  <c:v>Thane</c:v>
                </c:pt>
              </c:strCache>
            </c:strRef>
          </c:cat>
          <c:val>
            <c:numRef>
              <c:f>Sheet3!$B$4:$B$12</c:f>
              <c:numCache>
                <c:formatCode>General</c:formatCode>
                <c:ptCount val="8"/>
                <c:pt idx="0">
                  <c:v>650</c:v>
                </c:pt>
                <c:pt idx="1">
                  <c:v>615</c:v>
                </c:pt>
                <c:pt idx="2">
                  <c:v>535</c:v>
                </c:pt>
                <c:pt idx="3">
                  <c:v>487</c:v>
                </c:pt>
                <c:pt idx="4">
                  <c:v>612</c:v>
                </c:pt>
                <c:pt idx="5">
                  <c:v>624</c:v>
                </c:pt>
                <c:pt idx="6">
                  <c:v>692</c:v>
                </c:pt>
                <c:pt idx="7">
                  <c:v>613</c:v>
                </c:pt>
              </c:numCache>
            </c:numRef>
          </c:val>
          <c:extLst>
            <c:ext xmlns:c16="http://schemas.microsoft.com/office/drawing/2014/chart" uri="{C3380CC4-5D6E-409C-BE32-E72D297353CC}">
              <c16:uniqueId val="{00000000-8F06-4FAF-8A5B-A0B29D6B27C7}"/>
            </c:ext>
          </c:extLst>
        </c:ser>
        <c:dLbls>
          <c:showLegendKey val="0"/>
          <c:showVal val="0"/>
          <c:showCatName val="0"/>
          <c:showSerName val="0"/>
          <c:showPercent val="0"/>
          <c:showBubbleSize val="0"/>
        </c:dLbls>
        <c:gapWidth val="100"/>
        <c:overlap val="-24"/>
        <c:axId val="1256185839"/>
        <c:axId val="1256186799"/>
      </c:barChart>
      <c:catAx>
        <c:axId val="1256185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256186799"/>
        <c:crosses val="autoZero"/>
        <c:auto val="1"/>
        <c:lblAlgn val="ctr"/>
        <c:lblOffset val="100"/>
        <c:noMultiLvlLbl val="0"/>
      </c:catAx>
      <c:valAx>
        <c:axId val="125618679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25618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HR Dasbroad.xlsx]Sheet3!PivotTable12</c:name>
    <c:fmtId val="28"/>
  </c:pivotSource>
  <c:chart>
    <c:title>
      <c:tx>
        <c:rich>
          <a:bodyPr rot="0" spcFirstLastPara="1" vertOverflow="ellipsis" vert="horz" wrap="square" anchor="ctr" anchorCtr="1"/>
          <a:lstStyle/>
          <a:p>
            <a:pPr>
              <a:defRPr sz="2800" b="1" i="0" u="none" strike="noStrike" kern="1200" baseline="0">
                <a:solidFill>
                  <a:schemeClr val="tx1"/>
                </a:solidFill>
                <a:latin typeface="Aparajita" panose="02020603050405020304" pitchFamily="18" charset="0"/>
                <a:ea typeface="+mn-ea"/>
                <a:cs typeface="Aparajita" panose="02020603050405020304" pitchFamily="18" charset="0"/>
              </a:defRPr>
            </a:pPr>
            <a:r>
              <a:rPr lang="en-US" sz="2800"/>
              <a:t>Leave Taken By Department </a:t>
            </a:r>
          </a:p>
        </c:rich>
      </c:tx>
      <c:overlay val="0"/>
      <c:spPr>
        <a:noFill/>
        <a:ln>
          <a:noFill/>
        </a:ln>
        <a:effectLst/>
      </c:spPr>
      <c:txPr>
        <a:bodyPr rot="0" spcFirstLastPara="1" vertOverflow="ellipsis" vert="horz" wrap="square" anchor="ctr" anchorCtr="1"/>
        <a:lstStyle/>
        <a:p>
          <a:pPr>
            <a:defRPr sz="28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50800">
              <a:schemeClr val="accent6">
                <a:satMod val="175000"/>
                <a:alpha val="40000"/>
              </a:schemeClr>
            </a:glow>
            <a:outerShdw blurRad="57150" dist="19050" dir="5400000" algn="ctr" rotWithShape="0">
              <a:schemeClr val="accent5">
                <a:lumMod val="40000"/>
                <a:lumOff val="60000"/>
                <a:alpha val="63000"/>
              </a:schemeClr>
            </a:outerShdw>
            <a:softEdge rad="31750"/>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50800">
              <a:schemeClr val="accent6">
                <a:satMod val="175000"/>
                <a:alpha val="40000"/>
              </a:schemeClr>
            </a:glow>
            <a:outerShdw blurRad="57150" dist="19050" dir="5400000" algn="ctr" rotWithShape="0">
              <a:schemeClr val="accent5">
                <a:lumMod val="40000"/>
                <a:lumOff val="60000"/>
                <a:alpha val="63000"/>
              </a:schemeClr>
            </a:outerShdw>
            <a:softEdge rad="31750"/>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50800">
              <a:schemeClr val="accent6">
                <a:satMod val="175000"/>
                <a:alpha val="40000"/>
              </a:schemeClr>
            </a:glow>
            <a:outerShdw blurRad="57150" dist="19050" dir="5400000" algn="ctr" rotWithShape="0">
              <a:schemeClr val="accent5">
                <a:lumMod val="40000"/>
                <a:lumOff val="60000"/>
                <a:alpha val="63000"/>
              </a:schemeClr>
            </a:outerShdw>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50800">
              <a:schemeClr val="accent6">
                <a:satMod val="175000"/>
                <a:alpha val="40000"/>
              </a:schemeClr>
            </a:glow>
            <a:outerShdw blurRad="57150" dist="19050" dir="5400000" algn="ctr" rotWithShape="0">
              <a:schemeClr val="accent5">
                <a:lumMod val="40000"/>
                <a:lumOff val="60000"/>
                <a:alpha val="63000"/>
              </a:schemeClr>
            </a:outerShdw>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165100">
              <a:srgbClr val="7030A0">
                <a:alpha val="14000"/>
              </a:srgbClr>
            </a:glow>
            <a:outerShdw blurRad="50800" dist="38100" dir="16200000" rotWithShape="0">
              <a:schemeClr val="accent6">
                <a:lumMod val="50000"/>
                <a:alpha val="40000"/>
              </a:schemeClr>
            </a:outerShdw>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2146230398775"/>
          <c:y val="0.16200607049613491"/>
          <c:w val="0.82730610938922589"/>
          <c:h val="0.77402524363171066"/>
        </c:manualLayout>
      </c:layout>
      <c:barChart>
        <c:barDir val="bar"/>
        <c:grouping val="clustered"/>
        <c:varyColors val="0"/>
        <c:ser>
          <c:idx val="0"/>
          <c:order val="0"/>
          <c:tx>
            <c:strRef>
              <c:f>Sheet3!$C$25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165100">
                <a:srgbClr val="7030A0">
                  <a:alpha val="14000"/>
                </a:srgbClr>
              </a:glow>
              <a:outerShdw blurRad="50800" dist="38100" dir="16200000" rotWithShape="0">
                <a:schemeClr val="accent6">
                  <a:lumMod val="50000"/>
                  <a:alpha val="40000"/>
                </a:schemeClr>
              </a:outerShdw>
              <a:softEdge rad="31750"/>
            </a:effectLst>
          </c:spPr>
          <c:invertIfNegative val="0"/>
          <c:cat>
            <c:strRef>
              <c:f>Sheet3!$B$26:$B$34</c:f>
              <c:strCache>
                <c:ptCount val="8"/>
                <c:pt idx="0">
                  <c:v>Admin</c:v>
                </c:pt>
                <c:pt idx="1">
                  <c:v>Customer Support</c:v>
                </c:pt>
                <c:pt idx="2">
                  <c:v>Finance</c:v>
                </c:pt>
                <c:pt idx="3">
                  <c:v>HR</c:v>
                </c:pt>
                <c:pt idx="4">
                  <c:v>IT</c:v>
                </c:pt>
                <c:pt idx="5">
                  <c:v>Marketing</c:v>
                </c:pt>
                <c:pt idx="6">
                  <c:v>Operations</c:v>
                </c:pt>
                <c:pt idx="7">
                  <c:v>Sales</c:v>
                </c:pt>
              </c:strCache>
            </c:strRef>
          </c:cat>
          <c:val>
            <c:numRef>
              <c:f>Sheet3!$C$26:$C$34</c:f>
              <c:numCache>
                <c:formatCode>0.0</c:formatCode>
                <c:ptCount val="8"/>
                <c:pt idx="0">
                  <c:v>6.1733333333333329</c:v>
                </c:pt>
                <c:pt idx="1">
                  <c:v>5.4743589743589745</c:v>
                </c:pt>
                <c:pt idx="2">
                  <c:v>5.6533333333333333</c:v>
                </c:pt>
                <c:pt idx="3">
                  <c:v>6.1904761904761907</c:v>
                </c:pt>
                <c:pt idx="4">
                  <c:v>5.8965517241379306</c:v>
                </c:pt>
                <c:pt idx="5">
                  <c:v>7.2631578947368425</c:v>
                </c:pt>
                <c:pt idx="6">
                  <c:v>6.1594202898550723</c:v>
                </c:pt>
                <c:pt idx="7">
                  <c:v>5.8955223880597014</c:v>
                </c:pt>
              </c:numCache>
            </c:numRef>
          </c:val>
          <c:extLst>
            <c:ext xmlns:c16="http://schemas.microsoft.com/office/drawing/2014/chart" uri="{C3380CC4-5D6E-409C-BE32-E72D297353CC}">
              <c16:uniqueId val="{00000005-2BCA-4D33-A629-4AECDBBCB853}"/>
            </c:ext>
          </c:extLst>
        </c:ser>
        <c:dLbls>
          <c:showLegendKey val="0"/>
          <c:showVal val="0"/>
          <c:showCatName val="0"/>
          <c:showSerName val="0"/>
          <c:showPercent val="0"/>
          <c:showBubbleSize val="0"/>
        </c:dLbls>
        <c:gapWidth val="115"/>
        <c:overlap val="-20"/>
        <c:axId val="588285615"/>
        <c:axId val="588286575"/>
      </c:barChart>
      <c:catAx>
        <c:axId val="5882856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588286575"/>
        <c:crosses val="autoZero"/>
        <c:auto val="1"/>
        <c:lblAlgn val="ctr"/>
        <c:lblOffset val="100"/>
        <c:noMultiLvlLbl val="0"/>
      </c:catAx>
      <c:valAx>
        <c:axId val="588286575"/>
        <c:scaling>
          <c:orientation val="minMax"/>
        </c:scaling>
        <c:delete val="0"/>
        <c:axPos val="b"/>
        <c:majorGridlines>
          <c:spPr>
            <a:ln w="9525" cap="flat" cmpd="sng" algn="ctr">
              <a:noFill/>
              <a:round/>
            </a:ln>
            <a:effectLst>
              <a:glow rad="228600">
                <a:schemeClr val="accent6">
                  <a:satMod val="175000"/>
                  <a:alpha val="40000"/>
                </a:schemeClr>
              </a:glow>
              <a:outerShdw blurRad="50800" dist="50800" dir="5400000" algn="ctr" rotWithShape="0">
                <a:schemeClr val="accent6">
                  <a:lumMod val="50000"/>
                </a:schemeClr>
              </a:outerShdw>
              <a:softEdge rad="31750"/>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58828561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sz="1050" b="1">
          <a:solidFill>
            <a:schemeClr val="tx1"/>
          </a:solidFill>
          <a:latin typeface="Aparajita" panose="02020603050405020304" pitchFamily="18" charset="0"/>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HR Dasbroad.xlsx]Sheet3!PivotTable13</c:name>
    <c:fmtId val="56"/>
  </c:pivotSource>
  <c:chart>
    <c:title>
      <c:tx>
        <c:rich>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US" sz="2000">
                <a:solidFill>
                  <a:schemeClr val="tx1"/>
                </a:solidFill>
              </a:rPr>
              <a:t>Montly Hiring Trends </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cmpd="sng">
            <a:solidFill>
              <a:srgbClr val="7030A0"/>
            </a:solidFill>
            <a:round/>
          </a:ln>
          <a:effectLst>
            <a:glow rad="152400">
              <a:srgbClr val="7030A0">
                <a:alpha val="11000"/>
              </a:srgbClr>
            </a:glow>
            <a:outerShdw blurRad="57150" dist="19050" dir="5400000" sx="102000" sy="102000" algn="ctr" rotWithShape="0">
              <a:srgbClr val="000000">
                <a:alpha val="57000"/>
              </a:srgbClr>
            </a:outerShdw>
            <a:softEdge rad="0"/>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52400">
                <a:srgbClr val="7030A0">
                  <a:alpha val="11000"/>
                </a:srgbClr>
              </a:glow>
              <a:outerShdw blurRad="57150" dist="19050" dir="5400000" sx="102000" sy="102000" algn="ctr" rotWithShape="0">
                <a:srgbClr val="000000">
                  <a:alpha val="57000"/>
                </a:srgbClr>
              </a:outerShdw>
              <a:softEdge rad="0"/>
            </a:effectLst>
            <a:scene3d>
              <a:camera prst="orthographicFront"/>
              <a:lightRig rig="threePt" dir="t"/>
            </a:scene3d>
            <a:sp3d>
              <a:bevelT w="57150"/>
              <a:bevelB w="44450"/>
            </a:sp3d>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cmpd="sng">
            <a:solidFill>
              <a:srgbClr val="7030A0"/>
            </a:solidFill>
            <a:round/>
          </a:ln>
          <a:effectLst>
            <a:glow rad="152400">
              <a:srgbClr val="7030A0">
                <a:alpha val="11000"/>
              </a:srgbClr>
            </a:glow>
            <a:outerShdw blurRad="57150" dist="19050" dir="5400000" sx="102000" sy="102000" algn="ctr" rotWithShape="0">
              <a:srgbClr val="000000">
                <a:alpha val="57000"/>
              </a:srgbClr>
            </a:outerShdw>
            <a:softEdge rad="0"/>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52400">
                <a:srgbClr val="7030A0">
                  <a:alpha val="11000"/>
                </a:srgbClr>
              </a:glow>
              <a:outerShdw blurRad="57150" dist="19050" dir="5400000" sx="102000" sy="102000" algn="ctr" rotWithShape="0">
                <a:srgbClr val="000000">
                  <a:alpha val="57000"/>
                </a:srgbClr>
              </a:outerShdw>
              <a:softEdge rad="0"/>
            </a:effectLst>
            <a:scene3d>
              <a:camera prst="orthographicFront"/>
              <a:lightRig rig="threePt" dir="t"/>
            </a:scene3d>
            <a:sp3d>
              <a:bevelT w="57150"/>
              <a:bevelB w="44450"/>
            </a:sp3d>
          </c:spPr>
        </c:marker>
      </c:pivotFmt>
    </c:pivotFmts>
    <c:plotArea>
      <c:layout/>
      <c:lineChart>
        <c:grouping val="standard"/>
        <c:varyColors val="0"/>
        <c:ser>
          <c:idx val="0"/>
          <c:order val="0"/>
          <c:tx>
            <c:strRef>
              <c:f>Sheet3!$Z$17</c:f>
              <c:strCache>
                <c:ptCount val="1"/>
                <c:pt idx="0">
                  <c:v>Total</c:v>
                </c:pt>
              </c:strCache>
            </c:strRef>
          </c:tx>
          <c:spPr>
            <a:ln w="34925" cap="rnd" cmpd="sng">
              <a:solidFill>
                <a:srgbClr val="7030A0"/>
              </a:solidFill>
              <a:round/>
            </a:ln>
            <a:effectLst>
              <a:glow rad="152400">
                <a:srgbClr val="7030A0">
                  <a:alpha val="11000"/>
                </a:srgbClr>
              </a:glow>
              <a:outerShdw blurRad="57150" dist="19050" dir="5400000" sx="102000" sy="102000" algn="ctr" rotWithShape="0">
                <a:srgbClr val="000000">
                  <a:alpha val="57000"/>
                </a:srgbClr>
              </a:outerShdw>
              <a:softEdge rad="0"/>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glow rad="152400">
                  <a:srgbClr val="7030A0">
                    <a:alpha val="11000"/>
                  </a:srgbClr>
                </a:glow>
                <a:outerShdw blurRad="57150" dist="19050" dir="5400000" sx="102000" sy="102000" algn="ctr" rotWithShape="0">
                  <a:srgbClr val="000000">
                    <a:alpha val="57000"/>
                  </a:srgbClr>
                </a:outerShdw>
                <a:softEdge rad="0"/>
              </a:effectLst>
              <a:scene3d>
                <a:camera prst="orthographicFront"/>
                <a:lightRig rig="threePt" dir="t"/>
              </a:scene3d>
              <a:sp3d>
                <a:bevelT w="57150"/>
                <a:bevelB w="44450"/>
              </a:sp3d>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Sheet3!$Y$18:$Y$30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Sheet3!$Z$18:$Z$30</c:f>
              <c:numCache>
                <c:formatCode>0</c:formatCode>
                <c:ptCount val="12"/>
                <c:pt idx="0">
                  <c:v>48</c:v>
                </c:pt>
                <c:pt idx="1">
                  <c:v>47</c:v>
                </c:pt>
                <c:pt idx="2">
                  <c:v>42</c:v>
                </c:pt>
                <c:pt idx="3">
                  <c:v>42</c:v>
                </c:pt>
                <c:pt idx="4">
                  <c:v>46</c:v>
                </c:pt>
                <c:pt idx="5">
                  <c:v>45</c:v>
                </c:pt>
                <c:pt idx="6">
                  <c:v>42</c:v>
                </c:pt>
                <c:pt idx="7">
                  <c:v>45</c:v>
                </c:pt>
                <c:pt idx="8">
                  <c:v>49</c:v>
                </c:pt>
                <c:pt idx="9">
                  <c:v>49</c:v>
                </c:pt>
                <c:pt idx="10">
                  <c:v>42</c:v>
                </c:pt>
                <c:pt idx="11">
                  <c:v>45</c:v>
                </c:pt>
              </c:numCache>
            </c:numRef>
          </c:val>
          <c:smooth val="1"/>
          <c:extLst>
            <c:ext xmlns:c16="http://schemas.microsoft.com/office/drawing/2014/chart" uri="{C3380CC4-5D6E-409C-BE32-E72D297353CC}">
              <c16:uniqueId val="{00000000-7745-4AC9-BE2C-450F26C364E3}"/>
            </c:ext>
          </c:extLst>
        </c:ser>
        <c:dLbls>
          <c:showLegendKey val="0"/>
          <c:showVal val="0"/>
          <c:showCatName val="0"/>
          <c:showSerName val="0"/>
          <c:showPercent val="0"/>
          <c:showBubbleSize val="0"/>
        </c:dLbls>
        <c:marker val="1"/>
        <c:smooth val="0"/>
        <c:axId val="588245775"/>
        <c:axId val="588249615"/>
      </c:lineChart>
      <c:catAx>
        <c:axId val="588245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588249615"/>
        <c:crosses val="autoZero"/>
        <c:auto val="1"/>
        <c:lblAlgn val="ctr"/>
        <c:lblOffset val="100"/>
        <c:noMultiLvlLbl val="0"/>
      </c:catAx>
      <c:valAx>
        <c:axId val="588249615"/>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58824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HR Dasbroad.xlsx]Sheet3!PivotTable14</c:name>
    <c:fmtId val="7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400">
                <a:solidFill>
                  <a:schemeClr val="tx1"/>
                </a:solidFill>
                <a:latin typeface="Aparajita" panose="02020603050405020304" pitchFamily="18" charset="0"/>
                <a:cs typeface="Aparajita" panose="02020603050405020304" pitchFamily="18" charset="0"/>
              </a:rPr>
              <a:t>Performance Rating Distribution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127000">
              <a:schemeClr val="accent6">
                <a:lumMod val="50000"/>
              </a:schemeClr>
            </a:glow>
            <a:softEdge rad="3175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glow rad="127000">
              <a:schemeClr val="accent6">
                <a:lumMod val="50000"/>
              </a:schemeClr>
            </a:glow>
            <a:softEdge rad="31750"/>
          </a:effectLst>
        </c:spPr>
      </c:pivotFmt>
      <c:pivotFmt>
        <c:idx val="9"/>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glow rad="127000">
              <a:schemeClr val="accent6">
                <a:lumMod val="50000"/>
              </a:schemeClr>
            </a:glow>
            <a:softEdge rad="31750"/>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127000">
              <a:schemeClr val="accent6">
                <a:lumMod val="50000"/>
              </a:schemeClr>
            </a:glow>
            <a:softEdge rad="31750"/>
          </a:effectLst>
        </c:spPr>
      </c:pivotFmt>
      <c:pivotFmt>
        <c:idx val="11"/>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glow rad="127000">
              <a:schemeClr val="accent6">
                <a:lumMod val="50000"/>
              </a:schemeClr>
            </a:glow>
            <a:softEdge rad="31750"/>
          </a:effectLst>
        </c:spPr>
      </c:pivotFmt>
      <c:pivotFmt>
        <c:idx val="12"/>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glow rad="127000">
              <a:schemeClr val="accent6">
                <a:lumMod val="50000"/>
              </a:schemeClr>
            </a:glow>
            <a:softEdge rad="31750"/>
          </a:effectLst>
        </c:spPr>
      </c:pivotFmt>
    </c:pivotFmts>
    <c:plotArea>
      <c:layout/>
      <c:pieChart>
        <c:varyColors val="1"/>
        <c:ser>
          <c:idx val="0"/>
          <c:order val="0"/>
          <c:tx>
            <c:strRef>
              <c:f>Sheet3!$C$54</c:f>
              <c:strCache>
                <c:ptCount val="1"/>
                <c:pt idx="0">
                  <c:v>Total</c:v>
                </c:pt>
              </c:strCache>
            </c:strRef>
          </c:tx>
          <c:spPr>
            <a:effectLst>
              <a:glow rad="127000">
                <a:schemeClr val="accent6">
                  <a:lumMod val="50000"/>
                </a:schemeClr>
              </a:glow>
              <a:softEdge rad="31750"/>
            </a:effectLst>
          </c:spPr>
          <c:explosion val="2"/>
          <c:dPt>
            <c:idx val="0"/>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glow rad="127000">
                  <a:schemeClr val="accent6">
                    <a:lumMod val="50000"/>
                  </a:schemeClr>
                </a:glow>
                <a:softEdge rad="31750"/>
              </a:effectLst>
            </c:spPr>
            <c:extLst>
              <c:ext xmlns:c16="http://schemas.microsoft.com/office/drawing/2014/chart" uri="{C3380CC4-5D6E-409C-BE32-E72D297353CC}">
                <c16:uniqueId val="{00000001-42DC-4835-9733-602F68A6B2FE}"/>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glow rad="127000">
                  <a:schemeClr val="accent6">
                    <a:lumMod val="50000"/>
                  </a:schemeClr>
                </a:glow>
                <a:softEdge rad="31750"/>
              </a:effectLst>
            </c:spPr>
            <c:extLst>
              <c:ext xmlns:c16="http://schemas.microsoft.com/office/drawing/2014/chart" uri="{C3380CC4-5D6E-409C-BE32-E72D297353CC}">
                <c16:uniqueId val="{00000003-42DC-4835-9733-602F68A6B2F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127000">
                  <a:schemeClr val="accent6">
                    <a:lumMod val="50000"/>
                  </a:schemeClr>
                </a:glow>
                <a:softEdge rad="31750"/>
              </a:effectLst>
            </c:spPr>
            <c:extLst>
              <c:ext xmlns:c16="http://schemas.microsoft.com/office/drawing/2014/chart" uri="{C3380CC4-5D6E-409C-BE32-E72D297353CC}">
                <c16:uniqueId val="{00000005-42DC-4835-9733-602F68A6B2FE}"/>
              </c:ext>
            </c:extLst>
          </c:dPt>
          <c:dPt>
            <c:idx val="3"/>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glow rad="127000">
                  <a:schemeClr val="accent6">
                    <a:lumMod val="50000"/>
                  </a:schemeClr>
                </a:glow>
                <a:softEdge rad="31750"/>
              </a:effectLst>
            </c:spPr>
            <c:extLst>
              <c:ext xmlns:c16="http://schemas.microsoft.com/office/drawing/2014/chart" uri="{C3380CC4-5D6E-409C-BE32-E72D297353CC}">
                <c16:uniqueId val="{00000007-42DC-4835-9733-602F68A6B2FE}"/>
              </c:ext>
            </c:extLst>
          </c:dPt>
          <c:dPt>
            <c:idx val="4"/>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glow rad="127000">
                  <a:schemeClr val="accent6">
                    <a:lumMod val="50000"/>
                  </a:schemeClr>
                </a:glow>
                <a:softEdge rad="31750"/>
              </a:effectLst>
            </c:spPr>
            <c:extLst>
              <c:ext xmlns:c16="http://schemas.microsoft.com/office/drawing/2014/chart" uri="{C3380CC4-5D6E-409C-BE32-E72D297353CC}">
                <c16:uniqueId val="{00000009-42DC-4835-9733-602F68A6B2F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Sheet3!$B$55:$B$60</c:f>
              <c:strCache>
                <c:ptCount val="5"/>
                <c:pt idx="0">
                  <c:v>Average</c:v>
                </c:pt>
                <c:pt idx="1">
                  <c:v>Below Average</c:v>
                </c:pt>
                <c:pt idx="2">
                  <c:v>Excellent</c:v>
                </c:pt>
                <c:pt idx="3">
                  <c:v>Good</c:v>
                </c:pt>
                <c:pt idx="4">
                  <c:v>Poor</c:v>
                </c:pt>
              </c:strCache>
            </c:strRef>
          </c:cat>
          <c:val>
            <c:numRef>
              <c:f>Sheet3!$C$55:$C$60</c:f>
              <c:numCache>
                <c:formatCode>0</c:formatCode>
                <c:ptCount val="5"/>
                <c:pt idx="0">
                  <c:v>150</c:v>
                </c:pt>
                <c:pt idx="1">
                  <c:v>56</c:v>
                </c:pt>
                <c:pt idx="2">
                  <c:v>127</c:v>
                </c:pt>
                <c:pt idx="3">
                  <c:v>193</c:v>
                </c:pt>
                <c:pt idx="4">
                  <c:v>16</c:v>
                </c:pt>
              </c:numCache>
            </c:numRef>
          </c:val>
          <c:extLst>
            <c:ext xmlns:c16="http://schemas.microsoft.com/office/drawing/2014/chart" uri="{C3380CC4-5D6E-409C-BE32-E72D297353CC}">
              <c16:uniqueId val="{0000000A-42DC-4835-9733-602F68A6B2FE}"/>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3538212514762329"/>
          <c:y val="8.8112396436354906E-2"/>
          <c:w val="0.39953141851370405"/>
          <c:h val="0.180140727536077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28303</xdr:colOff>
      <xdr:row>9</xdr:row>
      <xdr:rowOff>15784</xdr:rowOff>
    </xdr:from>
    <xdr:to>
      <xdr:col>15</xdr:col>
      <xdr:colOff>571500</xdr:colOff>
      <xdr:row>24</xdr:row>
      <xdr:rowOff>15785</xdr:rowOff>
    </xdr:to>
    <xdr:graphicFrame macro="">
      <xdr:nvGraphicFramePr>
        <xdr:cNvPr id="2" name="Chart 1">
          <a:extLst>
            <a:ext uri="{FF2B5EF4-FFF2-40B4-BE49-F238E27FC236}">
              <a16:creationId xmlns:a16="http://schemas.microsoft.com/office/drawing/2014/main" id="{11403FCD-CD18-088F-5EBB-345395B2F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17416</xdr:colOff>
      <xdr:row>28</xdr:row>
      <xdr:rowOff>107225</xdr:rowOff>
    </xdr:from>
    <xdr:to>
      <xdr:col>16</xdr:col>
      <xdr:colOff>321128</xdr:colOff>
      <xdr:row>43</xdr:row>
      <xdr:rowOff>107225</xdr:rowOff>
    </xdr:to>
    <xdr:graphicFrame macro="">
      <xdr:nvGraphicFramePr>
        <xdr:cNvPr id="3" name="Chart 2">
          <a:extLst>
            <a:ext uri="{FF2B5EF4-FFF2-40B4-BE49-F238E27FC236}">
              <a16:creationId xmlns:a16="http://schemas.microsoft.com/office/drawing/2014/main" id="{6D2FEAFF-2A9F-BCCE-4BB5-9674C1B5D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529896</xdr:colOff>
      <xdr:row>31</xdr:row>
      <xdr:rowOff>117367</xdr:rowOff>
    </xdr:from>
    <xdr:to>
      <xdr:col>27</xdr:col>
      <xdr:colOff>83207</xdr:colOff>
      <xdr:row>46</xdr:row>
      <xdr:rowOff>101601</xdr:rowOff>
    </xdr:to>
    <xdr:graphicFrame macro="">
      <xdr:nvGraphicFramePr>
        <xdr:cNvPr id="4" name="Chart 3">
          <a:extLst>
            <a:ext uri="{FF2B5EF4-FFF2-40B4-BE49-F238E27FC236}">
              <a16:creationId xmlns:a16="http://schemas.microsoft.com/office/drawing/2014/main" id="{9B3B222E-BF55-0BFC-61C9-47B87DCE2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1036687</xdr:colOff>
      <xdr:row>52</xdr:row>
      <xdr:rowOff>175286</xdr:rowOff>
    </xdr:from>
    <xdr:to>
      <xdr:col>11</xdr:col>
      <xdr:colOff>81130</xdr:colOff>
      <xdr:row>68</xdr:row>
      <xdr:rowOff>17341</xdr:rowOff>
    </xdr:to>
    <xdr:graphicFrame macro="">
      <xdr:nvGraphicFramePr>
        <xdr:cNvPr id="5" name="Chart 4">
          <a:extLst>
            <a:ext uri="{FF2B5EF4-FFF2-40B4-BE49-F238E27FC236}">
              <a16:creationId xmlns:a16="http://schemas.microsoft.com/office/drawing/2014/main" id="{C9ABAD73-EDD8-3A0B-55BE-BE94C461B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159565</xdr:colOff>
      <xdr:row>41</xdr:row>
      <xdr:rowOff>121693</xdr:rowOff>
    </xdr:from>
    <xdr:to>
      <xdr:col>19</xdr:col>
      <xdr:colOff>887095</xdr:colOff>
      <xdr:row>51</xdr:row>
      <xdr:rowOff>125105</xdr:rowOff>
    </xdr:to>
    <mc:AlternateContent xmlns:mc="http://schemas.openxmlformats.org/markup-compatibility/2006" xmlns:a14="http://schemas.microsoft.com/office/drawing/2010/main">
      <mc:Choice Requires="a14">
        <xdr:graphicFrame macro="">
          <xdr:nvGraphicFramePr>
            <xdr:cNvPr id="6" name="Performance Rating">
              <a:extLst>
                <a:ext uri="{FF2B5EF4-FFF2-40B4-BE49-F238E27FC236}">
                  <a16:creationId xmlns:a16="http://schemas.microsoft.com/office/drawing/2014/main" id="{29E0C731-AE06-6049-BFCE-18B9B7E58BBA}"/>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mlns="">
        <xdr:sp macro="" textlink="">
          <xdr:nvSpPr>
            <xdr:cNvPr id="0" name=""/>
            <xdr:cNvSpPr>
              <a:spLocks noTextEdit="1"/>
            </xdr:cNvSpPr>
          </xdr:nvSpPr>
          <xdr:spPr>
            <a:xfrm>
              <a:off x="15149356" y="7582469"/>
              <a:ext cx="1828800" cy="1823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114073</xdr:colOff>
      <xdr:row>41</xdr:row>
      <xdr:rowOff>113504</xdr:rowOff>
    </xdr:from>
    <xdr:to>
      <xdr:col>10</xdr:col>
      <xdr:colOff>100425</xdr:colOff>
      <xdr:row>55</xdr:row>
      <xdr:rowOff>32897</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4C9DF426-0D41-CB7F-F30A-907E4BAC3BD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392043" y="7574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549664</xdr:colOff>
      <xdr:row>75</xdr:row>
      <xdr:rowOff>144439</xdr:rowOff>
    </xdr:from>
    <xdr:to>
      <xdr:col>14</xdr:col>
      <xdr:colOff>1150165</xdr:colOff>
      <xdr:row>89</xdr:row>
      <xdr:rowOff>63832</xdr:rowOff>
    </xdr:to>
    <mc:AlternateContent xmlns:mc="http://schemas.openxmlformats.org/markup-compatibility/2006" xmlns:a14="http://schemas.microsoft.com/office/drawing/2010/main">
      <mc:Choice Requires="a14">
        <xdr:graphicFrame macro="">
          <xdr:nvGraphicFramePr>
            <xdr:cNvPr id="8" name="Joining Month">
              <a:extLst>
                <a:ext uri="{FF2B5EF4-FFF2-40B4-BE49-F238E27FC236}">
                  <a16:creationId xmlns:a16="http://schemas.microsoft.com/office/drawing/2014/main" id="{C9368947-6FC3-55D1-06CF-CEE4AA0FA0F8}"/>
                </a:ext>
              </a:extLst>
            </xdr:cNvPr>
            <xdr:cNvGraphicFramePr/>
          </xdr:nvGraphicFramePr>
          <xdr:xfrm>
            <a:off x="0" y="0"/>
            <a:ext cx="0" cy="0"/>
          </xdr:xfrm>
          <a:graphic>
            <a:graphicData uri="http://schemas.microsoft.com/office/drawing/2010/slicer">
              <sle:slicer xmlns:sle="http://schemas.microsoft.com/office/drawing/2010/slicer" name="Joining Month"/>
            </a:graphicData>
          </a:graphic>
        </xdr:graphicFrame>
      </mc:Choice>
      <mc:Fallback xmlns="">
        <xdr:sp macro="" textlink="">
          <xdr:nvSpPr>
            <xdr:cNvPr id="0" name=""/>
            <xdr:cNvSpPr>
              <a:spLocks noTextEdit="1"/>
            </xdr:cNvSpPr>
          </xdr:nvSpPr>
          <xdr:spPr>
            <a:xfrm>
              <a:off x="9898380" y="13792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549664</xdr:colOff>
      <xdr:row>75</xdr:row>
      <xdr:rowOff>144440</xdr:rowOff>
    </xdr:from>
    <xdr:to>
      <xdr:col>14</xdr:col>
      <xdr:colOff>1150165</xdr:colOff>
      <xdr:row>80</xdr:row>
      <xdr:rowOff>125105</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9ABC6169-0B0A-36CE-F44E-64BA45B9BCD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98380" y="13792201"/>
              <a:ext cx="1828800" cy="890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426720</xdr:colOff>
      <xdr:row>2</xdr:row>
      <xdr:rowOff>15239</xdr:rowOff>
    </xdr:from>
    <xdr:to>
      <xdr:col>21</xdr:col>
      <xdr:colOff>243840</xdr:colOff>
      <xdr:row>52</xdr:row>
      <xdr:rowOff>46463</xdr:rowOff>
    </xdr:to>
    <xdr:sp macro="" textlink="">
      <xdr:nvSpPr>
        <xdr:cNvPr id="2" name="Rectangle 1">
          <a:extLst>
            <a:ext uri="{FF2B5EF4-FFF2-40B4-BE49-F238E27FC236}">
              <a16:creationId xmlns:a16="http://schemas.microsoft.com/office/drawing/2014/main" id="{5F384436-8E8B-EFCF-A53E-1933E145A8E9}"/>
            </a:ext>
          </a:extLst>
        </xdr:cNvPr>
        <xdr:cNvSpPr/>
      </xdr:nvSpPr>
      <xdr:spPr>
        <a:xfrm>
          <a:off x="1040869" y="379179"/>
          <a:ext cx="12100105" cy="9129732"/>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199428</xdr:colOff>
      <xdr:row>2</xdr:row>
      <xdr:rowOff>3530</xdr:rowOff>
    </xdr:from>
    <xdr:to>
      <xdr:col>34</xdr:col>
      <xdr:colOff>612824</xdr:colOff>
      <xdr:row>52</xdr:row>
      <xdr:rowOff>46463</xdr:rowOff>
    </xdr:to>
    <xdr:sp macro="" textlink="">
      <xdr:nvSpPr>
        <xdr:cNvPr id="3" name="Rectangle 2">
          <a:extLst>
            <a:ext uri="{FF2B5EF4-FFF2-40B4-BE49-F238E27FC236}">
              <a16:creationId xmlns:a16="http://schemas.microsoft.com/office/drawing/2014/main" id="{3176D697-4CD6-6A4C-05D7-18B0C3357580}"/>
            </a:ext>
          </a:extLst>
        </xdr:cNvPr>
        <xdr:cNvSpPr/>
      </xdr:nvSpPr>
      <xdr:spPr>
        <a:xfrm>
          <a:off x="3283714" y="366387"/>
          <a:ext cx="18302253" cy="9114362"/>
        </a:xfrm>
        <a:prstGeom prst="rect">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br>
            <a:rPr lang="en-IN" sz="1100"/>
          </a:br>
          <a:endParaRPr lang="en-IN" sz="1100"/>
        </a:p>
      </xdr:txBody>
    </xdr:sp>
    <xdr:clientData/>
  </xdr:twoCellAnchor>
  <xdr:twoCellAnchor>
    <xdr:from>
      <xdr:col>1</xdr:col>
      <xdr:colOff>541020</xdr:colOff>
      <xdr:row>2</xdr:row>
      <xdr:rowOff>91440</xdr:rowOff>
    </xdr:from>
    <xdr:to>
      <xdr:col>5</xdr:col>
      <xdr:colOff>228600</xdr:colOff>
      <xdr:row>16</xdr:row>
      <xdr:rowOff>106680</xdr:rowOff>
    </xdr:to>
    <xdr:sp macro="" textlink="">
      <xdr:nvSpPr>
        <xdr:cNvPr id="4" name="Rectangle 3">
          <a:extLst>
            <a:ext uri="{FF2B5EF4-FFF2-40B4-BE49-F238E27FC236}">
              <a16:creationId xmlns:a16="http://schemas.microsoft.com/office/drawing/2014/main" id="{FC5C6D3B-A9BB-09A5-0C83-CD31FEFC6418}"/>
            </a:ext>
          </a:extLst>
        </xdr:cNvPr>
        <xdr:cNvSpPr/>
      </xdr:nvSpPr>
      <xdr:spPr>
        <a:xfrm>
          <a:off x="1150620" y="457200"/>
          <a:ext cx="2125980" cy="2575560"/>
        </a:xfrm>
        <a:prstGeom prst="rect">
          <a:avLst/>
        </a:prstGeom>
        <a:solidFill>
          <a:schemeClr val="accent6">
            <a:lumMod val="75000"/>
          </a:schemeClr>
        </a:solid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556260</xdr:colOff>
      <xdr:row>17</xdr:row>
      <xdr:rowOff>60960</xdr:rowOff>
    </xdr:from>
    <xdr:to>
      <xdr:col>5</xdr:col>
      <xdr:colOff>243840</xdr:colOff>
      <xdr:row>31</xdr:row>
      <xdr:rowOff>159224</xdr:rowOff>
    </xdr:to>
    <xdr:sp macro="" textlink="">
      <xdr:nvSpPr>
        <xdr:cNvPr id="5" name="Rectangle 4">
          <a:extLst>
            <a:ext uri="{FF2B5EF4-FFF2-40B4-BE49-F238E27FC236}">
              <a16:creationId xmlns:a16="http://schemas.microsoft.com/office/drawing/2014/main" id="{BEC81A49-C53B-4BB1-8B15-EABD73241FD1}"/>
            </a:ext>
          </a:extLst>
        </xdr:cNvPr>
        <xdr:cNvSpPr/>
      </xdr:nvSpPr>
      <xdr:spPr>
        <a:xfrm>
          <a:off x="1170409" y="3154453"/>
          <a:ext cx="2144177" cy="2645846"/>
        </a:xfrm>
        <a:prstGeom prst="rect">
          <a:avLst/>
        </a:prstGeom>
        <a:solidFill>
          <a:schemeClr val="accent6">
            <a:lumMod val="75000"/>
          </a:schemeClr>
        </a:solid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553324</xdr:colOff>
      <xdr:row>32</xdr:row>
      <xdr:rowOff>144893</xdr:rowOff>
    </xdr:from>
    <xdr:to>
      <xdr:col>5</xdr:col>
      <xdr:colOff>240904</xdr:colOff>
      <xdr:row>43</xdr:row>
      <xdr:rowOff>143435</xdr:rowOff>
    </xdr:to>
    <xdr:sp macro="" textlink="">
      <xdr:nvSpPr>
        <xdr:cNvPr id="6" name="Rectangle 5">
          <a:extLst>
            <a:ext uri="{FF2B5EF4-FFF2-40B4-BE49-F238E27FC236}">
              <a16:creationId xmlns:a16="http://schemas.microsoft.com/office/drawing/2014/main" id="{3DF11F34-F06C-A779-7FE1-FAFBE2D2F9D7}"/>
            </a:ext>
          </a:extLst>
        </xdr:cNvPr>
        <xdr:cNvSpPr/>
      </xdr:nvSpPr>
      <xdr:spPr>
        <a:xfrm>
          <a:off x="1162924" y="5882305"/>
          <a:ext cx="2125980" cy="1970777"/>
        </a:xfrm>
        <a:prstGeom prst="rect">
          <a:avLst/>
        </a:prstGeom>
        <a:solidFill>
          <a:schemeClr val="accent6">
            <a:lumMod val="75000"/>
          </a:schemeClr>
        </a:solidFill>
        <a:ln w="762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464820</xdr:colOff>
      <xdr:row>2</xdr:row>
      <xdr:rowOff>121920</xdr:rowOff>
    </xdr:from>
    <xdr:to>
      <xdr:col>34</xdr:col>
      <xdr:colOff>355600</xdr:colOff>
      <xdr:row>7</xdr:row>
      <xdr:rowOff>121920</xdr:rowOff>
    </xdr:to>
    <xdr:sp macro="" textlink="">
      <xdr:nvSpPr>
        <xdr:cNvPr id="7" name="Rectangle: Rounded Corners 6">
          <a:extLst>
            <a:ext uri="{FF2B5EF4-FFF2-40B4-BE49-F238E27FC236}">
              <a16:creationId xmlns:a16="http://schemas.microsoft.com/office/drawing/2014/main" id="{9B6F4CC1-A821-8EF3-ED91-3BE046137F20}"/>
            </a:ext>
          </a:extLst>
        </xdr:cNvPr>
        <xdr:cNvSpPr/>
      </xdr:nvSpPr>
      <xdr:spPr>
        <a:xfrm>
          <a:off x="3512820" y="477520"/>
          <a:ext cx="17569180" cy="889000"/>
        </a:xfrm>
        <a:prstGeom prst="roundRect">
          <a:avLst/>
        </a:prstGeom>
        <a:solidFill>
          <a:schemeClr val="accent6">
            <a:lumMod val="60000"/>
            <a:lumOff val="40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580097</xdr:colOff>
      <xdr:row>8</xdr:row>
      <xdr:rowOff>116254</xdr:rowOff>
    </xdr:from>
    <xdr:to>
      <xdr:col>12</xdr:col>
      <xdr:colOff>293076</xdr:colOff>
      <xdr:row>14</xdr:row>
      <xdr:rowOff>136769</xdr:rowOff>
    </xdr:to>
    <xdr:sp macro="" textlink="">
      <xdr:nvSpPr>
        <xdr:cNvPr id="8" name="Rectangle: Rounded Corners 7">
          <a:extLst>
            <a:ext uri="{FF2B5EF4-FFF2-40B4-BE49-F238E27FC236}">
              <a16:creationId xmlns:a16="http://schemas.microsoft.com/office/drawing/2014/main" id="{F7F6ABAC-C5BD-F835-714D-23E26E18231D}"/>
            </a:ext>
          </a:extLst>
        </xdr:cNvPr>
        <xdr:cNvSpPr/>
      </xdr:nvSpPr>
      <xdr:spPr>
        <a:xfrm>
          <a:off x="4214251" y="1523023"/>
          <a:ext cx="3347133" cy="1075592"/>
        </a:xfrm>
        <a:prstGeom prst="roundRect">
          <a:avLst/>
        </a:prstGeom>
        <a:solidFill>
          <a:schemeClr val="accent6">
            <a:lumMod val="60000"/>
            <a:lumOff val="40000"/>
          </a:schemeClr>
        </a:solid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488463</xdr:colOff>
      <xdr:row>8</xdr:row>
      <xdr:rowOff>132471</xdr:rowOff>
    </xdr:from>
    <xdr:to>
      <xdr:col>31</xdr:col>
      <xdr:colOff>97692</xdr:colOff>
      <xdr:row>15</xdr:row>
      <xdr:rowOff>58616</xdr:rowOff>
    </xdr:to>
    <xdr:sp macro="" textlink="">
      <xdr:nvSpPr>
        <xdr:cNvPr id="11" name="Rectangle: Rounded Corners 10">
          <a:extLst>
            <a:ext uri="{FF2B5EF4-FFF2-40B4-BE49-F238E27FC236}">
              <a16:creationId xmlns:a16="http://schemas.microsoft.com/office/drawing/2014/main" id="{10D16696-BA36-4156-9707-C3D45533082E}"/>
            </a:ext>
          </a:extLst>
        </xdr:cNvPr>
        <xdr:cNvSpPr/>
      </xdr:nvSpPr>
      <xdr:spPr>
        <a:xfrm>
          <a:off x="15025078" y="1539240"/>
          <a:ext cx="3849076" cy="1157068"/>
        </a:xfrm>
        <a:prstGeom prst="roundRect">
          <a:avLst/>
        </a:prstGeom>
        <a:solidFill>
          <a:schemeClr val="accent6">
            <a:lumMod val="60000"/>
            <a:lumOff val="40000"/>
          </a:schemeClr>
        </a:solid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586740</xdr:colOff>
      <xdr:row>15</xdr:row>
      <xdr:rowOff>97692</xdr:rowOff>
    </xdr:from>
    <xdr:to>
      <xdr:col>15</xdr:col>
      <xdr:colOff>38100</xdr:colOff>
      <xdr:row>39</xdr:row>
      <xdr:rowOff>83819</xdr:rowOff>
    </xdr:to>
    <xdr:sp macro="" textlink="">
      <xdr:nvSpPr>
        <xdr:cNvPr id="12" name="Rectangle: Rounded Corners 11">
          <a:extLst>
            <a:ext uri="{FF2B5EF4-FFF2-40B4-BE49-F238E27FC236}">
              <a16:creationId xmlns:a16="http://schemas.microsoft.com/office/drawing/2014/main" id="{AEC3D44F-8AA7-55C0-81AD-956DA075739A}"/>
            </a:ext>
          </a:extLst>
        </xdr:cNvPr>
        <xdr:cNvSpPr/>
      </xdr:nvSpPr>
      <xdr:spPr>
        <a:xfrm>
          <a:off x="3615202" y="2735384"/>
          <a:ext cx="5508283" cy="4206435"/>
        </a:xfrm>
        <a:prstGeom prst="roundRect">
          <a:avLst/>
        </a:prstGeom>
        <a:solidFill>
          <a:schemeClr val="accent6">
            <a:lumMod val="60000"/>
            <a:lumOff val="40000"/>
          </a:schemeClr>
        </a:solid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127000</xdr:colOff>
      <xdr:row>2</xdr:row>
      <xdr:rowOff>152400</xdr:rowOff>
    </xdr:from>
    <xdr:to>
      <xdr:col>34</xdr:col>
      <xdr:colOff>241300</xdr:colOff>
      <xdr:row>7</xdr:row>
      <xdr:rowOff>114300</xdr:rowOff>
    </xdr:to>
    <xdr:sp macro="" textlink="">
      <xdr:nvSpPr>
        <xdr:cNvPr id="13" name="TextBox 12">
          <a:extLst>
            <a:ext uri="{FF2B5EF4-FFF2-40B4-BE49-F238E27FC236}">
              <a16:creationId xmlns:a16="http://schemas.microsoft.com/office/drawing/2014/main" id="{63E6F184-99F3-1EC2-92DC-E72F2C18149F}"/>
            </a:ext>
          </a:extLst>
        </xdr:cNvPr>
        <xdr:cNvSpPr txBox="1"/>
      </xdr:nvSpPr>
      <xdr:spPr>
        <a:xfrm>
          <a:off x="3784600" y="508000"/>
          <a:ext cx="17183100" cy="850900"/>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6600" b="1" i="0">
              <a:solidFill>
                <a:schemeClr val="bg2">
                  <a:lumMod val="10000"/>
                </a:schemeClr>
              </a:solidFill>
              <a:effectLst/>
              <a:latin typeface="Aparajita" panose="02020603050405020304" pitchFamily="18" charset="0"/>
              <a:ea typeface="+mn-ea"/>
              <a:cs typeface="Aparajita" panose="02020603050405020304" pitchFamily="18" charset="0"/>
            </a:rPr>
            <a:t>Sunrise Technologies Pvt Ltd — HR Dashboard </a:t>
          </a:r>
          <a:endParaRPr lang="en-IN" sz="6600" b="1">
            <a:solidFill>
              <a:schemeClr val="bg2">
                <a:lumMod val="10000"/>
              </a:schemeClr>
            </a:solidFill>
            <a:effectLst/>
            <a:latin typeface="Aparajita" panose="02020603050405020304" pitchFamily="18" charset="0"/>
            <a:cs typeface="Aparajita" panose="02020603050405020304" pitchFamily="18" charset="0"/>
          </a:endParaRPr>
        </a:p>
        <a:p>
          <a:pPr algn="ctr"/>
          <a:endParaRPr lang="en-IN" sz="6600" b="1">
            <a:solidFill>
              <a:schemeClr val="bg2">
                <a:lumMod val="10000"/>
              </a:schemeClr>
            </a:solidFill>
            <a:latin typeface="Aparajita" panose="02020603050405020304" pitchFamily="18" charset="0"/>
            <a:cs typeface="Aparajita" panose="02020603050405020304" pitchFamily="18" charset="0"/>
          </a:endParaRPr>
        </a:p>
      </xdr:txBody>
    </xdr:sp>
    <xdr:clientData/>
  </xdr:twoCellAnchor>
  <xdr:twoCellAnchor>
    <xdr:from>
      <xdr:col>8</xdr:col>
      <xdr:colOff>87924</xdr:colOff>
      <xdr:row>9</xdr:row>
      <xdr:rowOff>27214</xdr:rowOff>
    </xdr:from>
    <xdr:to>
      <xdr:col>12</xdr:col>
      <xdr:colOff>181429</xdr:colOff>
      <xdr:row>13</xdr:row>
      <xdr:rowOff>117230</xdr:rowOff>
    </xdr:to>
    <xdr:sp macro="" textlink="">
      <xdr:nvSpPr>
        <xdr:cNvPr id="14" name="TextBox 13">
          <a:extLst>
            <a:ext uri="{FF2B5EF4-FFF2-40B4-BE49-F238E27FC236}">
              <a16:creationId xmlns:a16="http://schemas.microsoft.com/office/drawing/2014/main" id="{35AA06DD-00C7-1D2F-C1FF-9A3A5444B3E3}"/>
            </a:ext>
          </a:extLst>
        </xdr:cNvPr>
        <xdr:cNvSpPr txBox="1"/>
      </xdr:nvSpPr>
      <xdr:spPr>
        <a:xfrm>
          <a:off x="4950210" y="1660071"/>
          <a:ext cx="2524648" cy="815730"/>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latin typeface="Aparajita" panose="02020603050405020304" pitchFamily="18" charset="0"/>
              <a:cs typeface="Aparajita" panose="02020603050405020304" pitchFamily="18" charset="0"/>
            </a:rPr>
            <a:t>Tota</a:t>
          </a:r>
          <a:r>
            <a:rPr lang="en-IN" sz="3200" b="1" baseline="0">
              <a:latin typeface="Aparajita" panose="02020603050405020304" pitchFamily="18" charset="0"/>
              <a:cs typeface="Aparajita" panose="02020603050405020304" pitchFamily="18" charset="0"/>
            </a:rPr>
            <a:t>l Employees</a:t>
          </a:r>
          <a:endParaRPr lang="en-IN" sz="3200" b="1">
            <a:latin typeface="Aparajita" panose="02020603050405020304" pitchFamily="18" charset="0"/>
            <a:cs typeface="Aparajita" panose="02020603050405020304" pitchFamily="18" charset="0"/>
          </a:endParaRPr>
        </a:p>
      </xdr:txBody>
    </xdr:sp>
    <xdr:clientData/>
  </xdr:twoCellAnchor>
  <xdr:twoCellAnchor editAs="oneCell">
    <xdr:from>
      <xdr:col>6</xdr:col>
      <xdr:colOff>510541</xdr:colOff>
      <xdr:row>7</xdr:row>
      <xdr:rowOff>30482</xdr:rowOff>
    </xdr:from>
    <xdr:to>
      <xdr:col>8</xdr:col>
      <xdr:colOff>172224</xdr:colOff>
      <xdr:row>11</xdr:row>
      <xdr:rowOff>156308</xdr:rowOff>
    </xdr:to>
    <xdr:pic>
      <xdr:nvPicPr>
        <xdr:cNvPr id="15" name="Graphic 14">
          <a:extLst>
            <a:ext uri="{FF2B5EF4-FFF2-40B4-BE49-F238E27FC236}">
              <a16:creationId xmlns:a16="http://schemas.microsoft.com/office/drawing/2014/main" id="{D0FCA7D3-CD13-4D83-B265-DEAD06925B82}"/>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44695" y="1261405"/>
          <a:ext cx="873067" cy="829211"/>
        </a:xfrm>
        <a:prstGeom prst="rect">
          <a:avLst/>
        </a:prstGeom>
      </xdr:spPr>
    </xdr:pic>
    <xdr:clientData/>
  </xdr:twoCellAnchor>
  <xdr:twoCellAnchor>
    <xdr:from>
      <xdr:col>25</xdr:col>
      <xdr:colOff>586157</xdr:colOff>
      <xdr:row>9</xdr:row>
      <xdr:rowOff>56866</xdr:rowOff>
    </xdr:from>
    <xdr:to>
      <xdr:col>30</xdr:col>
      <xdr:colOff>580029</xdr:colOff>
      <xdr:row>11</xdr:row>
      <xdr:rowOff>170597</xdr:rowOff>
    </xdr:to>
    <xdr:sp macro="" textlink="">
      <xdr:nvSpPr>
        <xdr:cNvPr id="18" name="TextBox 17">
          <a:extLst>
            <a:ext uri="{FF2B5EF4-FFF2-40B4-BE49-F238E27FC236}">
              <a16:creationId xmlns:a16="http://schemas.microsoft.com/office/drawing/2014/main" id="{6E9A7BF0-DAD7-39B9-A257-078320CA6A3E}"/>
            </a:ext>
          </a:extLst>
        </xdr:cNvPr>
        <xdr:cNvSpPr txBox="1"/>
      </xdr:nvSpPr>
      <xdr:spPr>
        <a:xfrm>
          <a:off x="15939888" y="1694597"/>
          <a:ext cx="3064619" cy="477672"/>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latin typeface="Aparajita" panose="02020603050405020304" pitchFamily="18" charset="0"/>
              <a:cs typeface="Aparajita" panose="02020603050405020304" pitchFamily="18" charset="0"/>
            </a:rPr>
            <a:t>Avg Leave Taken </a:t>
          </a:r>
        </a:p>
      </xdr:txBody>
    </xdr:sp>
    <xdr:clientData/>
  </xdr:twoCellAnchor>
  <xdr:twoCellAnchor editAs="oneCell">
    <xdr:from>
      <xdr:col>24</xdr:col>
      <xdr:colOff>565444</xdr:colOff>
      <xdr:row>8</xdr:row>
      <xdr:rowOff>52416</xdr:rowOff>
    </xdr:from>
    <xdr:to>
      <xdr:col>26</xdr:col>
      <xdr:colOff>93579</xdr:colOff>
      <xdr:row>11</xdr:row>
      <xdr:rowOff>108145</xdr:rowOff>
    </xdr:to>
    <xdr:pic>
      <xdr:nvPicPr>
        <xdr:cNvPr id="20" name="Graphic 19" descr="Trophy">
          <a:extLst>
            <a:ext uri="{FF2B5EF4-FFF2-40B4-BE49-F238E27FC236}">
              <a16:creationId xmlns:a16="http://schemas.microsoft.com/office/drawing/2014/main" id="{B418BCA5-F8F5-45FA-596B-D870D94E6CE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324181" y="1549679"/>
          <a:ext cx="758030" cy="617203"/>
        </a:xfrm>
        <a:prstGeom prst="rect">
          <a:avLst/>
        </a:prstGeom>
      </xdr:spPr>
    </xdr:pic>
    <xdr:clientData/>
  </xdr:twoCellAnchor>
  <xdr:twoCellAnchor>
    <xdr:from>
      <xdr:col>6</xdr:col>
      <xdr:colOff>193342</xdr:colOff>
      <xdr:row>16</xdr:row>
      <xdr:rowOff>147851</xdr:rowOff>
    </xdr:from>
    <xdr:to>
      <xdr:col>14</xdr:col>
      <xdr:colOff>409431</xdr:colOff>
      <xdr:row>38</xdr:row>
      <xdr:rowOff>22746</xdr:rowOff>
    </xdr:to>
    <xdr:graphicFrame macro="">
      <xdr:nvGraphicFramePr>
        <xdr:cNvPr id="21" name="Chart 20">
          <a:extLst>
            <a:ext uri="{FF2B5EF4-FFF2-40B4-BE49-F238E27FC236}">
              <a16:creationId xmlns:a16="http://schemas.microsoft.com/office/drawing/2014/main" id="{9BFF1286-60AA-4192-A958-7FEC0AB81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139391</xdr:colOff>
      <xdr:row>40</xdr:row>
      <xdr:rowOff>120805</xdr:rowOff>
    </xdr:from>
    <xdr:to>
      <xdr:col>26</xdr:col>
      <xdr:colOff>266701</xdr:colOff>
      <xdr:row>51</xdr:row>
      <xdr:rowOff>37170</xdr:rowOff>
    </xdr:to>
    <xdr:sp macro="" textlink="">
      <xdr:nvSpPr>
        <xdr:cNvPr id="23" name="Rectangle: Rounded Corners 22">
          <a:extLst>
            <a:ext uri="{FF2B5EF4-FFF2-40B4-BE49-F238E27FC236}">
              <a16:creationId xmlns:a16="http://schemas.microsoft.com/office/drawing/2014/main" id="{2916486D-02C1-E0B9-B1FC-9E7E2D9F53F9}"/>
            </a:ext>
          </a:extLst>
        </xdr:cNvPr>
        <xdr:cNvSpPr/>
      </xdr:nvSpPr>
      <xdr:spPr>
        <a:xfrm>
          <a:off x="3796991" y="7232805"/>
          <a:ext cx="12319310" cy="1872165"/>
        </a:xfrm>
        <a:prstGeom prst="roundRect">
          <a:avLst/>
        </a:prstGeom>
        <a:solidFill>
          <a:schemeClr val="accent6">
            <a:lumMod val="60000"/>
            <a:lumOff val="40000"/>
          </a:schemeClr>
        </a:solidFill>
        <a:ln w="57150">
          <a:solidFill>
            <a:srgbClr val="002060"/>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507999</xdr:colOff>
      <xdr:row>8</xdr:row>
      <xdr:rowOff>117231</xdr:rowOff>
    </xdr:from>
    <xdr:to>
      <xdr:col>22</xdr:col>
      <xdr:colOff>117229</xdr:colOff>
      <xdr:row>15</xdr:row>
      <xdr:rowOff>43376</xdr:rowOff>
    </xdr:to>
    <xdr:sp macro="" textlink="">
      <xdr:nvSpPr>
        <xdr:cNvPr id="24" name="Rectangle: Rounded Corners 23">
          <a:extLst>
            <a:ext uri="{FF2B5EF4-FFF2-40B4-BE49-F238E27FC236}">
              <a16:creationId xmlns:a16="http://schemas.microsoft.com/office/drawing/2014/main" id="{FFAD9371-DFE5-4416-A94A-475FC043A485}"/>
            </a:ext>
          </a:extLst>
        </xdr:cNvPr>
        <xdr:cNvSpPr/>
      </xdr:nvSpPr>
      <xdr:spPr>
        <a:xfrm>
          <a:off x="9593384" y="1524000"/>
          <a:ext cx="3849076" cy="1157068"/>
        </a:xfrm>
        <a:prstGeom prst="roundRect">
          <a:avLst/>
        </a:prstGeom>
        <a:solidFill>
          <a:schemeClr val="accent6">
            <a:lumMod val="60000"/>
            <a:lumOff val="40000"/>
          </a:schemeClr>
        </a:solid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182825</xdr:colOff>
      <xdr:row>8</xdr:row>
      <xdr:rowOff>168294</xdr:rowOff>
    </xdr:from>
    <xdr:to>
      <xdr:col>21</xdr:col>
      <xdr:colOff>589643</xdr:colOff>
      <xdr:row>12</xdr:row>
      <xdr:rowOff>72571</xdr:rowOff>
    </xdr:to>
    <xdr:sp macro="" textlink="">
      <xdr:nvSpPr>
        <xdr:cNvPr id="16" name="TextBox 15">
          <a:extLst>
            <a:ext uri="{FF2B5EF4-FFF2-40B4-BE49-F238E27FC236}">
              <a16:creationId xmlns:a16="http://schemas.microsoft.com/office/drawing/2014/main" id="{21BB9435-B701-BA57-BD79-C2395028FA8C}"/>
            </a:ext>
          </a:extLst>
        </xdr:cNvPr>
        <xdr:cNvSpPr txBox="1"/>
      </xdr:nvSpPr>
      <xdr:spPr>
        <a:xfrm>
          <a:off x="11122968" y="1619723"/>
          <a:ext cx="2230175" cy="629991"/>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latin typeface="Aparajita" panose="02020603050405020304" pitchFamily="18" charset="0"/>
              <a:cs typeface="Aparajita" panose="02020603050405020304" pitchFamily="18" charset="0"/>
            </a:rPr>
            <a:t>Avg Salary</a:t>
          </a:r>
          <a:r>
            <a:rPr lang="en-IN" sz="3200" b="1" baseline="0">
              <a:latin typeface="Aparajita" panose="02020603050405020304" pitchFamily="18" charset="0"/>
              <a:cs typeface="Aparajita" panose="02020603050405020304" pitchFamily="18" charset="0"/>
            </a:rPr>
            <a:t> </a:t>
          </a:r>
          <a:endParaRPr lang="en-IN" sz="3200" b="1">
            <a:latin typeface="Aparajita" panose="02020603050405020304" pitchFamily="18" charset="0"/>
            <a:cs typeface="Aparajita" panose="02020603050405020304" pitchFamily="18" charset="0"/>
          </a:endParaRPr>
        </a:p>
      </xdr:txBody>
    </xdr:sp>
    <xdr:clientData/>
  </xdr:twoCellAnchor>
  <xdr:twoCellAnchor editAs="oneCell">
    <xdr:from>
      <xdr:col>16</xdr:col>
      <xdr:colOff>11725</xdr:colOff>
      <xdr:row>7</xdr:row>
      <xdr:rowOff>4692</xdr:rowOff>
    </xdr:from>
    <xdr:to>
      <xdr:col>18</xdr:col>
      <xdr:colOff>22746</xdr:colOff>
      <xdr:row>11</xdr:row>
      <xdr:rowOff>170597</xdr:rowOff>
    </xdr:to>
    <xdr:pic>
      <xdr:nvPicPr>
        <xdr:cNvPr id="17" name="Graphic 16" descr="Money">
          <a:extLst>
            <a:ext uri="{FF2B5EF4-FFF2-40B4-BE49-F238E27FC236}">
              <a16:creationId xmlns:a16="http://schemas.microsoft.com/office/drawing/2014/main" id="{CBFDAB9D-442D-4A15-8667-AC4636E410D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838113" y="1278483"/>
          <a:ext cx="1239320" cy="893786"/>
        </a:xfrm>
        <a:prstGeom prst="rect">
          <a:avLst/>
        </a:prstGeom>
      </xdr:spPr>
    </xdr:pic>
    <xdr:clientData/>
  </xdr:twoCellAnchor>
  <xdr:twoCellAnchor>
    <xdr:from>
      <xdr:col>15</xdr:col>
      <xdr:colOff>436045</xdr:colOff>
      <xdr:row>16</xdr:row>
      <xdr:rowOff>1686</xdr:rowOff>
    </xdr:from>
    <xdr:to>
      <xdr:col>26</xdr:col>
      <xdr:colOff>317500</xdr:colOff>
      <xdr:row>38</xdr:row>
      <xdr:rowOff>171963</xdr:rowOff>
    </xdr:to>
    <xdr:sp macro="" textlink="">
      <xdr:nvSpPr>
        <xdr:cNvPr id="27" name="Rectangle: Rounded Corners 26">
          <a:extLst>
            <a:ext uri="{FF2B5EF4-FFF2-40B4-BE49-F238E27FC236}">
              <a16:creationId xmlns:a16="http://schemas.microsoft.com/office/drawing/2014/main" id="{47289E01-74F6-4249-AC40-C8E2FED109F8}"/>
            </a:ext>
          </a:extLst>
        </xdr:cNvPr>
        <xdr:cNvSpPr/>
      </xdr:nvSpPr>
      <xdr:spPr>
        <a:xfrm>
          <a:off x="9580045" y="2846486"/>
          <a:ext cx="6587055" cy="4081877"/>
        </a:xfrm>
        <a:prstGeom prst="roundRect">
          <a:avLst/>
        </a:prstGeom>
        <a:solidFill>
          <a:schemeClr val="accent6">
            <a:lumMod val="60000"/>
            <a:lumOff val="40000"/>
          </a:schemeClr>
        </a:solid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436993</xdr:colOff>
      <xdr:row>15</xdr:row>
      <xdr:rowOff>170552</xdr:rowOff>
    </xdr:from>
    <xdr:to>
      <xdr:col>26</xdr:col>
      <xdr:colOff>0</xdr:colOff>
      <xdr:row>37</xdr:row>
      <xdr:rowOff>71161</xdr:rowOff>
    </xdr:to>
    <xdr:graphicFrame macro="">
      <xdr:nvGraphicFramePr>
        <xdr:cNvPr id="32" name="Chart 31">
          <a:extLst>
            <a:ext uri="{FF2B5EF4-FFF2-40B4-BE49-F238E27FC236}">
              <a16:creationId xmlns:a16="http://schemas.microsoft.com/office/drawing/2014/main" id="{B50D3BF2-854D-41A5-9EC1-9FB32B90D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63500</xdr:colOff>
      <xdr:row>15</xdr:row>
      <xdr:rowOff>165100</xdr:rowOff>
    </xdr:from>
    <xdr:to>
      <xdr:col>35</xdr:col>
      <xdr:colOff>25399</xdr:colOff>
      <xdr:row>49</xdr:row>
      <xdr:rowOff>152400</xdr:rowOff>
    </xdr:to>
    <xdr:sp macro="" textlink="">
      <xdr:nvSpPr>
        <xdr:cNvPr id="33" name="Rectangle: Rounded Corners 32">
          <a:extLst>
            <a:ext uri="{FF2B5EF4-FFF2-40B4-BE49-F238E27FC236}">
              <a16:creationId xmlns:a16="http://schemas.microsoft.com/office/drawing/2014/main" id="{06227F7D-64B6-4FC8-8FB7-B4C210623D82}"/>
            </a:ext>
          </a:extLst>
        </xdr:cNvPr>
        <xdr:cNvSpPr/>
      </xdr:nvSpPr>
      <xdr:spPr>
        <a:xfrm>
          <a:off x="16522700" y="2832100"/>
          <a:ext cx="4838699" cy="6032500"/>
        </a:xfrm>
        <a:prstGeom prst="roundRect">
          <a:avLst/>
        </a:prstGeom>
        <a:solidFill>
          <a:schemeClr val="accent6">
            <a:lumMod val="60000"/>
            <a:lumOff val="40000"/>
          </a:schemeClr>
        </a:solid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318447</xdr:colOff>
      <xdr:row>40</xdr:row>
      <xdr:rowOff>152400</xdr:rowOff>
    </xdr:from>
    <xdr:to>
      <xdr:col>26</xdr:col>
      <xdr:colOff>0</xdr:colOff>
      <xdr:row>50</xdr:row>
      <xdr:rowOff>125105</xdr:rowOff>
    </xdr:to>
    <xdr:graphicFrame macro="">
      <xdr:nvGraphicFramePr>
        <xdr:cNvPr id="34" name="Chart 33">
          <a:extLst>
            <a:ext uri="{FF2B5EF4-FFF2-40B4-BE49-F238E27FC236}">
              <a16:creationId xmlns:a16="http://schemas.microsoft.com/office/drawing/2014/main" id="{2257D4E1-3CB9-47C6-A92C-8578B5A4B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457414</xdr:colOff>
      <xdr:row>16</xdr:row>
      <xdr:rowOff>131453</xdr:rowOff>
    </xdr:from>
    <xdr:to>
      <xdr:col>35</xdr:col>
      <xdr:colOff>44787</xdr:colOff>
      <xdr:row>48</xdr:row>
      <xdr:rowOff>180614</xdr:rowOff>
    </xdr:to>
    <xdr:graphicFrame macro="">
      <xdr:nvGraphicFramePr>
        <xdr:cNvPr id="37" name="Chart 36">
          <a:extLst>
            <a:ext uri="{FF2B5EF4-FFF2-40B4-BE49-F238E27FC236}">
              <a16:creationId xmlns:a16="http://schemas.microsoft.com/office/drawing/2014/main" id="{A838121A-7C95-4DEA-81B0-86B6583A3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34119</xdr:colOff>
      <xdr:row>11</xdr:row>
      <xdr:rowOff>47973</xdr:rowOff>
    </xdr:from>
    <xdr:to>
      <xdr:col>12</xdr:col>
      <xdr:colOff>235857</xdr:colOff>
      <xdr:row>14</xdr:row>
      <xdr:rowOff>22926</xdr:rowOff>
    </xdr:to>
    <xdr:sp macro="" textlink="Sheet3!P54">
      <xdr:nvSpPr>
        <xdr:cNvPr id="38" name="TextBox 37">
          <a:extLst>
            <a:ext uri="{FF2B5EF4-FFF2-40B4-BE49-F238E27FC236}">
              <a16:creationId xmlns:a16="http://schemas.microsoft.com/office/drawing/2014/main" id="{1E7B36F6-25A4-F437-C33D-E74ED89B9D88}"/>
            </a:ext>
          </a:extLst>
        </xdr:cNvPr>
        <xdr:cNvSpPr txBox="1"/>
      </xdr:nvSpPr>
      <xdr:spPr>
        <a:xfrm>
          <a:off x="4301319" y="2029173"/>
          <a:ext cx="3249738" cy="515280"/>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89B907-CD0B-447F-AACE-1AF009C19EB0}" type="TxLink">
            <a:rPr lang="en-US" sz="3600" b="1" i="0" u="none" strike="noStrike">
              <a:solidFill>
                <a:schemeClr val="tx1"/>
              </a:solidFill>
              <a:latin typeface="Aparajita" panose="02020603050405020304" pitchFamily="18" charset="0"/>
              <a:ea typeface="Calibri"/>
              <a:cs typeface="Aparajita" panose="02020603050405020304" pitchFamily="18" charset="0"/>
            </a:rPr>
            <a:pPr/>
            <a:t>542</a:t>
          </a:fld>
          <a:r>
            <a:rPr lang="en-US" sz="3600" b="1" i="0" u="none" strike="noStrike">
              <a:solidFill>
                <a:schemeClr val="tx1"/>
              </a:solidFill>
              <a:latin typeface="Aparajita" panose="02020603050405020304" pitchFamily="18" charset="0"/>
              <a:ea typeface="Calibri"/>
              <a:cs typeface="Aparajita" panose="02020603050405020304" pitchFamily="18" charset="0"/>
            </a:rPr>
            <a:t>  8</a:t>
          </a:r>
          <a:r>
            <a:rPr lang="en-US" sz="3600" b="1" i="0" u="none" strike="noStrike" baseline="0">
              <a:solidFill>
                <a:schemeClr val="tx1"/>
              </a:solidFill>
              <a:latin typeface="Aparajita" panose="02020603050405020304" pitchFamily="18" charset="0"/>
              <a:ea typeface="Calibri"/>
              <a:cs typeface="Aparajita" panose="02020603050405020304" pitchFamily="18" charset="0"/>
            </a:rPr>
            <a:t> Departments</a:t>
          </a:r>
          <a:endParaRPr lang="en-IN" sz="3600" b="1">
            <a:solidFill>
              <a:schemeClr val="tx1"/>
            </a:solidFill>
            <a:latin typeface="Aparajita" panose="02020603050405020304" pitchFamily="18" charset="0"/>
            <a:cs typeface="Aparajita" panose="02020603050405020304" pitchFamily="18" charset="0"/>
          </a:endParaRPr>
        </a:p>
      </xdr:txBody>
    </xdr:sp>
    <xdr:clientData/>
  </xdr:twoCellAnchor>
  <xdr:twoCellAnchor>
    <xdr:from>
      <xdr:col>15</xdr:col>
      <xdr:colOff>568035</xdr:colOff>
      <xdr:row>11</xdr:row>
      <xdr:rowOff>138545</xdr:rowOff>
    </xdr:from>
    <xdr:to>
      <xdr:col>21</xdr:col>
      <xdr:colOff>595744</xdr:colOff>
      <xdr:row>14</xdr:row>
      <xdr:rowOff>90714</xdr:rowOff>
    </xdr:to>
    <xdr:sp macro="" textlink="Sheet3!P67">
      <xdr:nvSpPr>
        <xdr:cNvPr id="39" name="TextBox 38">
          <a:extLst>
            <a:ext uri="{FF2B5EF4-FFF2-40B4-BE49-F238E27FC236}">
              <a16:creationId xmlns:a16="http://schemas.microsoft.com/office/drawing/2014/main" id="{5E951D64-A0BF-30BA-C75C-91F0F209DAF1}"/>
            </a:ext>
          </a:extLst>
        </xdr:cNvPr>
        <xdr:cNvSpPr txBox="1"/>
      </xdr:nvSpPr>
      <xdr:spPr>
        <a:xfrm>
          <a:off x="9712035" y="2119745"/>
          <a:ext cx="3685309" cy="492496"/>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5E6ADB-E195-4B64-BAAC-CC3893C1563A}" type="TxLink">
            <a:rPr lang="en-US" sz="2000" b="1" i="0" u="none" strike="noStrike">
              <a:solidFill>
                <a:schemeClr val="tx1"/>
              </a:solidFill>
              <a:latin typeface="Aparajita" panose="02020603050405020304" pitchFamily="18" charset="0"/>
              <a:ea typeface="Calibri"/>
              <a:cs typeface="Aparajita" panose="02020603050405020304" pitchFamily="18" charset="0"/>
            </a:rPr>
            <a:pPr/>
            <a:t> ₹ 54,253 </a:t>
          </a:fld>
          <a:r>
            <a:rPr lang="en-US" sz="2000" b="1" i="0" u="none" strike="noStrike" baseline="0">
              <a:solidFill>
                <a:schemeClr val="tx1"/>
              </a:solidFill>
              <a:latin typeface="Aparajita" panose="02020603050405020304" pitchFamily="18" charset="0"/>
              <a:ea typeface="Calibri"/>
              <a:cs typeface="Aparajita" panose="02020603050405020304" pitchFamily="18" charset="0"/>
            </a:rPr>
            <a:t> Across All Departments</a:t>
          </a:r>
        </a:p>
        <a:p>
          <a:endParaRPr lang="en-IN" sz="2000" b="1">
            <a:solidFill>
              <a:schemeClr val="tx1"/>
            </a:solidFill>
            <a:latin typeface="Aparajita" panose="02020603050405020304" pitchFamily="18" charset="0"/>
            <a:cs typeface="Aparajita" panose="02020603050405020304" pitchFamily="18" charset="0"/>
          </a:endParaRPr>
        </a:p>
      </xdr:txBody>
    </xdr:sp>
    <xdr:clientData/>
  </xdr:twoCellAnchor>
  <xdr:twoCellAnchor>
    <xdr:from>
      <xdr:col>26</xdr:col>
      <xdr:colOff>56866</xdr:colOff>
      <xdr:row>11</xdr:row>
      <xdr:rowOff>125102</xdr:rowOff>
    </xdr:from>
    <xdr:to>
      <xdr:col>31</xdr:col>
      <xdr:colOff>11373</xdr:colOff>
      <xdr:row>14</xdr:row>
      <xdr:rowOff>170598</xdr:rowOff>
    </xdr:to>
    <xdr:sp macro="" textlink="Sheet3!AV116">
      <xdr:nvSpPr>
        <xdr:cNvPr id="40" name="TextBox 39">
          <a:extLst>
            <a:ext uri="{FF2B5EF4-FFF2-40B4-BE49-F238E27FC236}">
              <a16:creationId xmlns:a16="http://schemas.microsoft.com/office/drawing/2014/main" id="{5872ABCE-A6B4-629A-3AA0-A312E675476E}"/>
            </a:ext>
          </a:extLst>
        </xdr:cNvPr>
        <xdr:cNvSpPr txBox="1"/>
      </xdr:nvSpPr>
      <xdr:spPr>
        <a:xfrm>
          <a:off x="16024747" y="2126774"/>
          <a:ext cx="3025253" cy="591406"/>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tx1"/>
              </a:solidFill>
              <a:latin typeface="Aparajita" panose="02020603050405020304" pitchFamily="18" charset="0"/>
              <a:ea typeface="Calibri"/>
              <a:cs typeface="Aparajita" panose="02020603050405020304" pitchFamily="18" charset="0"/>
            </a:rPr>
            <a:t>Per Employees Per  Days</a:t>
          </a:r>
          <a:endParaRPr lang="en-IN" sz="2400" b="1">
            <a:solidFill>
              <a:schemeClr val="tx1"/>
            </a:solidFill>
            <a:latin typeface="Aparajita" panose="02020603050405020304" pitchFamily="18" charset="0"/>
            <a:cs typeface="Aparajita" panose="02020603050405020304" pitchFamily="18" charset="0"/>
          </a:endParaRPr>
        </a:p>
      </xdr:txBody>
    </xdr:sp>
    <xdr:clientData/>
  </xdr:twoCellAnchor>
  <xdr:twoCellAnchor editAs="oneCell">
    <xdr:from>
      <xdr:col>2</xdr:col>
      <xdr:colOff>0</xdr:colOff>
      <xdr:row>2</xdr:row>
      <xdr:rowOff>159223</xdr:rowOff>
    </xdr:from>
    <xdr:to>
      <xdr:col>5</xdr:col>
      <xdr:colOff>165003</xdr:colOff>
      <xdr:row>16</xdr:row>
      <xdr:rowOff>59641</xdr:rowOff>
    </xdr:to>
    <mc:AlternateContent xmlns:mc="http://schemas.openxmlformats.org/markup-compatibility/2006" xmlns:a14="http://schemas.microsoft.com/office/drawing/2010/main">
      <mc:Choice Requires="a14">
        <xdr:graphicFrame macro="">
          <xdr:nvGraphicFramePr>
            <xdr:cNvPr id="41" name="Performance Rating 1">
              <a:extLst>
                <a:ext uri="{FF2B5EF4-FFF2-40B4-BE49-F238E27FC236}">
                  <a16:creationId xmlns:a16="http://schemas.microsoft.com/office/drawing/2014/main" id="{14988ACA-893E-4997-8E8D-0B9DE92A31F1}"/>
                </a:ext>
              </a:extLst>
            </xdr:cNvPr>
            <xdr:cNvGraphicFramePr/>
          </xdr:nvGraphicFramePr>
          <xdr:xfrm>
            <a:off x="0" y="0"/>
            <a:ext cx="0" cy="0"/>
          </xdr:xfrm>
          <a:graphic>
            <a:graphicData uri="http://schemas.microsoft.com/office/drawing/2010/slicer">
              <sle:slicer xmlns:sle="http://schemas.microsoft.com/office/drawing/2010/slicer" name="Performance Rating 1"/>
            </a:graphicData>
          </a:graphic>
        </xdr:graphicFrame>
      </mc:Choice>
      <mc:Fallback xmlns="">
        <xdr:sp macro="" textlink="">
          <xdr:nvSpPr>
            <xdr:cNvPr id="0" name=""/>
            <xdr:cNvSpPr>
              <a:spLocks noTextEdit="1"/>
            </xdr:cNvSpPr>
          </xdr:nvSpPr>
          <xdr:spPr>
            <a:xfrm>
              <a:off x="1219200" y="507566"/>
              <a:ext cx="1993803" cy="2338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22744</xdr:colOff>
      <xdr:row>17</xdr:row>
      <xdr:rowOff>90984</xdr:rowOff>
    </xdr:from>
    <xdr:to>
      <xdr:col>5</xdr:col>
      <xdr:colOff>196297</xdr:colOff>
      <xdr:row>31</xdr:row>
      <xdr:rowOff>135402</xdr:rowOff>
    </xdr:to>
    <mc:AlternateContent xmlns:mc="http://schemas.openxmlformats.org/markup-compatibility/2006" xmlns:a14="http://schemas.microsoft.com/office/drawing/2010/main">
      <mc:Choice Requires="a14">
        <xdr:graphicFrame macro="">
          <xdr:nvGraphicFramePr>
            <xdr:cNvPr id="42" name="Department 1">
              <a:extLst>
                <a:ext uri="{FF2B5EF4-FFF2-40B4-BE49-F238E27FC236}">
                  <a16:creationId xmlns:a16="http://schemas.microsoft.com/office/drawing/2014/main" id="{B8D8FFB4-CB84-4B81-B75C-262AC0920CF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41944" y="3051898"/>
              <a:ext cx="2002353" cy="2482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541921</xdr:colOff>
      <xdr:row>11</xdr:row>
      <xdr:rowOff>67639</xdr:rowOff>
    </xdr:from>
    <xdr:to>
      <xdr:col>26</xdr:col>
      <xdr:colOff>98368</xdr:colOff>
      <xdr:row>13</xdr:row>
      <xdr:rowOff>152440</xdr:rowOff>
    </xdr:to>
    <xdr:sp macro="" textlink="Sheet3!S60">
      <xdr:nvSpPr>
        <xdr:cNvPr id="43" name="TextBox 42">
          <a:extLst>
            <a:ext uri="{FF2B5EF4-FFF2-40B4-BE49-F238E27FC236}">
              <a16:creationId xmlns:a16="http://schemas.microsoft.com/office/drawing/2014/main" id="{C3BA58D5-E04C-DE88-688F-5C1D1AF4A4A4}"/>
            </a:ext>
          </a:extLst>
        </xdr:cNvPr>
        <xdr:cNvSpPr txBox="1"/>
      </xdr:nvSpPr>
      <xdr:spPr>
        <a:xfrm>
          <a:off x="15300658" y="2126376"/>
          <a:ext cx="786342" cy="459117"/>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715C9E-C244-4178-9201-EA7CAEE04D58}" type="TxLink">
            <a:rPr lang="en-US" sz="4000" b="1" i="0" u="none" strike="noStrike">
              <a:solidFill>
                <a:schemeClr val="tx1"/>
              </a:solidFill>
              <a:latin typeface="Aparajita" panose="02020603050405020304" pitchFamily="18" charset="0"/>
              <a:ea typeface="Calibri"/>
              <a:cs typeface="Aparajita" panose="02020603050405020304" pitchFamily="18" charset="0"/>
            </a:rPr>
            <a:pPr/>
            <a:t>6.1</a:t>
          </a:fld>
          <a:endParaRPr lang="en-IN" sz="4000" b="1">
            <a:solidFill>
              <a:schemeClr val="tx1"/>
            </a:solidFill>
            <a:latin typeface="Aparajita" panose="02020603050405020304" pitchFamily="18" charset="0"/>
            <a:cs typeface="Aparajita" panose="02020603050405020304" pitchFamily="18" charset="0"/>
          </a:endParaRPr>
        </a:p>
      </xdr:txBody>
    </xdr:sp>
    <xdr:clientData/>
  </xdr:twoCellAnchor>
  <xdr:twoCellAnchor editAs="oneCell">
    <xdr:from>
      <xdr:col>1</xdr:col>
      <xdr:colOff>602742</xdr:colOff>
      <xdr:row>33</xdr:row>
      <xdr:rowOff>23681</xdr:rowOff>
    </xdr:from>
    <xdr:to>
      <xdr:col>5</xdr:col>
      <xdr:colOff>206598</xdr:colOff>
      <xdr:row>43</xdr:row>
      <xdr:rowOff>92353</xdr:rowOff>
    </xdr:to>
    <mc:AlternateContent xmlns:mc="http://schemas.openxmlformats.org/markup-compatibility/2006" xmlns:a14="http://schemas.microsoft.com/office/drawing/2010/main">
      <mc:Choice Requires="a14">
        <xdr:graphicFrame macro="">
          <xdr:nvGraphicFramePr>
            <xdr:cNvPr id="44" name="Joining Month 1">
              <a:extLst>
                <a:ext uri="{FF2B5EF4-FFF2-40B4-BE49-F238E27FC236}">
                  <a16:creationId xmlns:a16="http://schemas.microsoft.com/office/drawing/2014/main" id="{5F9DBEE7-1EE5-4892-A3DA-659665DEFB0E}"/>
                </a:ext>
              </a:extLst>
            </xdr:cNvPr>
            <xdr:cNvGraphicFramePr/>
          </xdr:nvGraphicFramePr>
          <xdr:xfrm>
            <a:off x="0" y="0"/>
            <a:ext cx="0" cy="0"/>
          </xdr:xfrm>
          <a:graphic>
            <a:graphicData uri="http://schemas.microsoft.com/office/drawing/2010/slicer">
              <sle:slicer xmlns:sle="http://schemas.microsoft.com/office/drawing/2010/slicer" name="Joining Month 1"/>
            </a:graphicData>
          </a:graphic>
        </xdr:graphicFrame>
      </mc:Choice>
      <mc:Fallback xmlns="">
        <xdr:sp macro="" textlink="">
          <xdr:nvSpPr>
            <xdr:cNvPr id="0" name=""/>
            <xdr:cNvSpPr>
              <a:spLocks noTextEdit="1"/>
            </xdr:cNvSpPr>
          </xdr:nvSpPr>
          <xdr:spPr>
            <a:xfrm>
              <a:off x="1212342" y="5771338"/>
              <a:ext cx="2042256" cy="1810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549742</xdr:colOff>
      <xdr:row>44</xdr:row>
      <xdr:rowOff>127538</xdr:rowOff>
    </xdr:from>
    <xdr:to>
      <xdr:col>5</xdr:col>
      <xdr:colOff>237322</xdr:colOff>
      <xdr:row>51</xdr:row>
      <xdr:rowOff>51169</xdr:rowOff>
    </xdr:to>
    <xdr:sp macro="" textlink="">
      <xdr:nvSpPr>
        <xdr:cNvPr id="45" name="Rectangle 44">
          <a:extLst>
            <a:ext uri="{FF2B5EF4-FFF2-40B4-BE49-F238E27FC236}">
              <a16:creationId xmlns:a16="http://schemas.microsoft.com/office/drawing/2014/main" id="{F24B7955-9A50-49D8-A302-420874CCE2C5}"/>
            </a:ext>
          </a:extLst>
        </xdr:cNvPr>
        <xdr:cNvSpPr/>
      </xdr:nvSpPr>
      <xdr:spPr>
        <a:xfrm>
          <a:off x="1164689" y="8362485"/>
          <a:ext cx="2147370" cy="1233737"/>
        </a:xfrm>
        <a:prstGeom prst="rect">
          <a:avLst/>
        </a:prstGeom>
        <a:solidFill>
          <a:schemeClr val="accent6">
            <a:lumMod val="75000"/>
          </a:schemeClr>
        </a:solidFill>
        <a:ln w="762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589847</xdr:colOff>
      <xdr:row>45</xdr:row>
      <xdr:rowOff>7222</xdr:rowOff>
    </xdr:from>
    <xdr:to>
      <xdr:col>5</xdr:col>
      <xdr:colOff>147052</xdr:colOff>
      <xdr:row>51</xdr:row>
      <xdr:rowOff>274</xdr:rowOff>
    </xdr:to>
    <mc:AlternateContent xmlns:mc="http://schemas.openxmlformats.org/markup-compatibility/2006" xmlns:a14="http://schemas.microsoft.com/office/drawing/2010/main">
      <mc:Choice Requires="a14">
        <xdr:graphicFrame macro="">
          <xdr:nvGraphicFramePr>
            <xdr:cNvPr id="46" name="Gender 1">
              <a:extLst>
                <a:ext uri="{FF2B5EF4-FFF2-40B4-BE49-F238E27FC236}">
                  <a16:creationId xmlns:a16="http://schemas.microsoft.com/office/drawing/2014/main" id="{67DF8A66-0593-43D5-80F1-425E4DC4A44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99447" y="7844936"/>
              <a:ext cx="1995605" cy="1038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2" refreshedDate="46181.468178703704" createdVersion="8" refreshedVersion="8" minRefreshableVersion="3" recordCount="542" xr:uid="{9FB1783C-3D8F-41D7-BE09-5DEFC014F4B1}">
  <cacheSource type="worksheet">
    <worksheetSource ref="A2:M544" sheet="Sheet1"/>
  </cacheSource>
  <cacheFields count="13">
    <cacheField name="Sr No" numFmtId="0">
      <sharedItems containsSemiMixedTypes="0" containsString="0" containsNumber="1" containsInteger="1" minValue="1" maxValue="542"/>
    </cacheField>
    <cacheField name="Emp ID" numFmtId="0">
      <sharedItems/>
    </cacheField>
    <cacheField name="Employee Name" numFmtId="0">
      <sharedItems count="399">
        <s v="Amit Mehta"/>
        <s v="Nikhil Khan"/>
        <s v="Pooja Sawant"/>
        <s v="Deepak Yadav"/>
        <s v="Asha Pillai"/>
        <s v="Deepak Bhosale"/>
        <s v="Divya Mishra"/>
        <s v="Anita Singh"/>
        <s v="Nikhil Patel"/>
        <s v="Rohit Patel"/>
        <s v="Anil Patel"/>
        <s v="Rohit Verma"/>
        <s v="Neha Patil"/>
        <s v="Deepak Mishra"/>
        <s v="Priya Desai"/>
        <s v="Divya More"/>
        <s v="Deepak Kadam"/>
        <s v="Sneha Joshi"/>
        <s v="Rekha Shinde"/>
        <s v="Geeta Agarwal"/>
        <s v="Santosh Deshpande"/>
        <s v="Ravi Patel"/>
        <s v="Kavya Verma"/>
        <s v="Vikram Yadav"/>
        <s v="Sneha Sharma"/>
        <s v="Sunita Agarwal"/>
        <s v="Suresh Malhotra"/>
        <s v="Pallavi Mehta"/>
        <s v="Anjali Joshi"/>
        <s v="Ravi More"/>
        <s v="Shreya Khan"/>
        <s v="Rekha Mishra"/>
        <s v="Deepak More"/>
        <s v="Tarun Joshi"/>
        <s v="Shreya Patil"/>
        <s v="Rohit Sawant"/>
        <s v="Amit Kulkarni"/>
        <s v="Manish Pillai"/>
        <s v="Asha Khan"/>
        <s v="Suresh Bhosale"/>
        <s v="Nikhil Singh"/>
        <s v="Priya Joshi"/>
        <s v="Meena Bose"/>
        <s v="Meena Joshi"/>
        <s v="Pallavi Malhotra"/>
        <s v="Manish Kadam"/>
        <s v="Sunita Mehta"/>
        <s v="Amit Deshpande"/>
        <s v="Nikhil Sawant"/>
        <s v="Suresh Rao"/>
        <s v="Kavya Shinde"/>
        <s v="Anil Pawar"/>
        <s v="Asha Mishra"/>
        <s v="Anjali Pillai"/>
        <s v="Amit Mishra"/>
        <s v="Santosh Agarwal"/>
        <s v="Kavya Bose"/>
        <s v="Manish Mishra"/>
        <s v="Anjali Mishra"/>
        <s v="Suresh Verma"/>
        <s v="Rekha Kadam"/>
        <s v="Anita Bose"/>
        <s v="Santosh Malhotra"/>
        <s v="Rajesh Desai"/>
        <s v="Santosh Jadhav"/>
        <s v="Vikram Rao"/>
        <s v="Sunita Pillai"/>
        <s v="Vikram Kulkarni"/>
        <s v="Asha Sharma"/>
        <s v="Sunita Bhosale"/>
        <s v="Nikhil Mehta"/>
        <s v="Shreya More"/>
        <s v="Shreya Jadhav"/>
        <s v="Divya Nair"/>
        <s v="Suresh Joshi"/>
        <s v="Sunita Patel"/>
        <s v="Anjali Kadam"/>
        <s v="Priya Malhotra"/>
        <s v="Sunita Sawant"/>
        <s v="Amit More"/>
        <s v="Anil Kadam"/>
        <s v="Manish Mehta"/>
        <s v="Vijay Rao"/>
        <s v="Shreya Bhosale"/>
        <s v="Santosh Gupta"/>
        <s v="Kavya Kadam"/>
        <s v="Suresh Patil"/>
        <s v="Divya Malhotra"/>
        <s v="Neha Sawant"/>
        <s v="Rajesh Khan"/>
        <s v="Rahul Patil"/>
        <s v="Shreya Mishra"/>
        <s v="Sunita Shinde"/>
        <s v="Vikram Bhosale"/>
        <s v="Kavya Pawar"/>
        <s v="Manish Pawar"/>
        <s v="Karan Jadhav"/>
        <s v="Amit Pillai"/>
        <s v="Anjali Patel"/>
        <s v="Tarun Sawant"/>
        <s v="Geeta Sharma"/>
        <s v="Santosh Mishra"/>
        <s v="Vijay Bhosale"/>
        <s v="Vijay Iyer"/>
        <s v="Rajesh Mehta"/>
        <s v="Geeta Nair"/>
        <s v="Pooja Deshpande"/>
        <s v="Pooja Kadam"/>
        <s v="Neha Kulkarni"/>
        <s v="Rahul Nair"/>
        <s v="Sneha Shinde"/>
        <s v="Pooja Sharma"/>
        <s v="Rajesh Verma"/>
        <s v="Nikhil Gaikwad"/>
        <s v="Rohit Desai"/>
        <s v="Kavya Bhosale"/>
        <s v="Asha Mehta"/>
        <s v="Rekha Patel"/>
        <s v="Divya Sawant"/>
        <s v="Meena Pillai"/>
        <s v="Anita Mishra"/>
        <s v="Anjali Mehta"/>
        <s v="Rohit Yadav"/>
        <s v="Amit Singh"/>
        <s v="Tarun Desai"/>
        <s v="Anil Desai"/>
        <s v="Sneha Tiwari"/>
        <s v="Geeta Kulkarni"/>
        <s v="Ravi Mehta"/>
        <s v="Karan Joshi"/>
        <s v="Rahul Deshpande"/>
        <s v="Divya Bhosale"/>
        <s v="Deepak Sharma"/>
        <s v="Vikram Gaikwad"/>
        <s v="Sneha Sawant"/>
        <s v="Amit Nair"/>
        <s v="Shreya Kulkarni"/>
        <s v="Sneha Bose"/>
        <s v="Nikhil Kadam"/>
        <s v="Anil Jadhav"/>
        <s v="Sunita Yadav"/>
        <s v="Suresh Patel"/>
        <s v="Pooja Pawar"/>
        <s v="Shreya Rao"/>
        <s v="Pallavi Khan"/>
        <s v="Tarun Gaikwad"/>
        <s v="Priya Kulkarni"/>
        <s v="Suresh Mishra"/>
        <s v="Tarun Sharma"/>
        <s v="Suresh Bose"/>
        <s v="Pooja Khan"/>
        <s v="Karan Kulkarni"/>
        <s v="Suresh Sharma"/>
        <s v="Suresh Tiwari"/>
        <s v="Neha Joshi"/>
        <s v="Rahul Mehta"/>
        <s v="Sunita Pawar"/>
        <s v="Geeta Shinde"/>
        <s v="Rekha Nair"/>
        <s v="Sneha Verma"/>
        <s v="Ravi Pillai"/>
        <s v="Pooja Verma"/>
        <s v="Rajesh Patil"/>
        <s v="Shreya Nair"/>
        <s v="Nikhil Mishra"/>
        <s v="Anil Shinde"/>
        <s v="Sneha Pillai"/>
        <s v="Santosh Joshi"/>
        <s v="Vijay Pawar"/>
        <s v="Ravi Kadam"/>
        <s v="Rajesh Nair"/>
        <s v="Neha Shinde"/>
        <s v="Santosh Patil"/>
        <s v="Tarun Jadhav"/>
        <s v="Rahul Khan"/>
        <s v="Vijay Joshi"/>
        <s v="Divya Jadhav"/>
        <s v="Rajesh Tiwari"/>
        <s v="Rohit Bose"/>
        <s v="Geeta Deshpande"/>
        <s v="Shreya Joshi"/>
        <s v="Priya Khan"/>
        <s v="Anjali Deshpande"/>
        <s v="Vijay Shinde"/>
        <s v="Rekha Tiwari"/>
        <s v="Anjali Khan"/>
        <s v="Sneha Deshpande"/>
        <s v="Vijay Pillai"/>
        <s v="Santosh Verma"/>
        <s v="Suresh Khan"/>
        <s v="Priya Yadav"/>
        <s v="Rekha Bose"/>
        <s v="Sneha Pawar"/>
        <s v="Karan Pillai"/>
        <s v="Anita Bhosale"/>
        <s v="Manish Gupta"/>
        <s v="Santosh More"/>
        <s v="Ravi Pawar"/>
        <s v="Sneha Patil"/>
        <s v="Geeta Bhosale"/>
        <s v="Tarun Deshpande"/>
        <s v="Rajesh Rao"/>
        <s v="Neha Tiwari"/>
        <s v="Sunita Tiwari"/>
        <s v="Manish Jadhav"/>
        <s v="Vijay Jadhav"/>
        <s v="Rohit Patil"/>
        <s v="Rekha Yadav"/>
        <s v="Shreya Iyer"/>
        <s v="Pallavi Gaikwad"/>
        <s v="Pallavi Pawar"/>
        <s v="Nikhil Nair"/>
        <s v="Karan Bhosale"/>
        <s v="Meena Shinde"/>
        <s v="Rajesh Gaikwad"/>
        <s v="Santosh Desai"/>
        <s v="Anjali More"/>
        <s v="Vikram Sawant"/>
        <s v="Vijay Gupta"/>
        <s v="Geeta Mehta"/>
        <s v="Deepak Bose"/>
        <s v="Rahul More"/>
        <s v="Rajesh More"/>
        <s v="Anjali Patil"/>
        <s v="Pooja Yadav"/>
        <s v="Karan Kadam"/>
        <s v="Pallavi Sawant"/>
        <s v="Tarun Tiwari"/>
        <s v="Divya Kadam"/>
        <s v="Ravi Tiwari"/>
        <s v="Nikhil Tiwari"/>
        <s v="Anjali Nair"/>
        <s v="Geeta Joshi"/>
        <s v="Tarun Iyer"/>
        <s v="Sunita Desai"/>
        <s v="Rohit Mishra"/>
        <s v="Karan Iyer"/>
        <s v="Manish Bose"/>
        <s v="Deepak Kulkarni"/>
        <s v="Rahul Kulkarni"/>
        <s v="Divya Shinde"/>
        <s v="Suresh Jadhav"/>
        <s v="Suresh Pawar"/>
        <s v="Pooja Joshi"/>
        <s v="Vikram Sharma"/>
        <s v="Santosh Tiwari"/>
        <s v="Nikhil Bose"/>
        <s v="Vijay Patel"/>
        <s v="Sneha Desai"/>
        <s v="Asha Rao"/>
        <s v="Anita More"/>
        <s v="Amit Patel"/>
        <s v="Vikram Desai"/>
        <s v="Vikram Patel"/>
        <s v="Meena Patel"/>
        <s v="Anil Kulkarni"/>
        <s v="Rajesh Bhosale"/>
        <s v="Pallavi Gupta"/>
        <s v="Pallavi Desai"/>
        <s v="Pooja Iyer"/>
        <s v="Meena Rao"/>
        <s v="Amit Rao"/>
        <s v="Santosh Shinde"/>
        <s v="Rahul Joshi"/>
        <s v="Ravi Desai"/>
        <s v="Ravi Bose"/>
        <s v="Pooja Jadhav"/>
        <s v="Meena Khan"/>
        <s v="Geeta Sawant"/>
        <s v="Vikram Malhotra"/>
        <s v="Geeta Yadav"/>
        <s v="Divya Verma"/>
        <s v="Manish Iyer"/>
        <s v="Anil Nair"/>
        <s v="Anita Patil"/>
        <s v="Neha Desai"/>
        <s v="Shreya Patel"/>
        <s v="Ravi Malhotra"/>
        <s v="Pallavi Jadhav"/>
        <s v="Shreya Singh"/>
        <s v="Santosh Nair"/>
        <s v="Anil Bose"/>
        <s v="Asha Jadhav"/>
        <s v="Suresh Pillai"/>
        <s v="Rahul Jadhav"/>
        <s v="Suresh Gaikwad"/>
        <s v="Amit Verma"/>
        <s v="Nikhil Joshi"/>
        <s v="Manish Kulkarni"/>
        <s v="Neha More"/>
        <s v="Pooja Pillai"/>
        <s v="Neha Agarwal"/>
        <s v="Nikhil Pillai"/>
        <s v="Karan Yadav"/>
        <s v="Amit Jadhav"/>
        <s v="Deepak Joshi"/>
        <s v="Rajesh Deshpande"/>
        <s v="Pooja Patel"/>
        <s v="Santosh Rao"/>
        <s v="Tarun Shinde"/>
        <s v="Santosh Pawar"/>
        <s v="Tarun Pawar"/>
        <s v="Kavya Sharma"/>
        <s v="Neha Malhotra"/>
        <s v="Amit Patil"/>
        <s v="Priya Deshpande"/>
        <s v="Karan Rao"/>
        <s v="Anjali Shinde"/>
        <s v="Santosh Gaikwad"/>
        <s v="Anita Iyer"/>
        <s v="Sunita Patil"/>
        <s v="Amit Bhosale"/>
        <s v="Priya Bhosale"/>
        <s v="Anita Rao"/>
        <s v="Priya Nair"/>
        <s v="Sunita Bose"/>
        <s v="Ravi Jadhav"/>
        <s v="Deepak Gupta"/>
        <s v="Vijay Khan"/>
        <s v="Divya Rao"/>
        <s v="Meena Verma"/>
        <s v="Rekha Singh"/>
        <s v="Sunita Nair"/>
        <s v="Rahul Patel"/>
        <s v="Meena Deshpande"/>
        <s v="Asha Malhotra"/>
        <s v="Rahul Shinde"/>
        <s v="Deepak Singh"/>
        <s v="Rahul Desai"/>
        <s v="Pooja Kulkarni"/>
        <s v="Ravi Nair"/>
        <s v="Rohit Bhosale"/>
        <s v="Rekha Deshpande"/>
        <s v="Sneha Agarwal"/>
        <s v="Santosh Singh"/>
        <s v="Rekha Mehta"/>
        <s v="Deepak Pawar"/>
        <s v="Pallavi Yadav"/>
        <s v="Ravi Gaikwad"/>
        <s v="Vikram Mishra"/>
        <s v="Anjali Rao"/>
        <s v="Rekha Bhosale"/>
        <s v="Rajesh Jadhav"/>
        <s v="Anil Sawant"/>
        <s v="Meena Gupta"/>
        <s v="Rekha Rao"/>
        <s v="Rekha Sharma"/>
        <s v="Anita Kulkarni"/>
        <s v="Anil Yadav"/>
        <s v="Geeta Patil"/>
        <s v="Divya Pawar"/>
        <s v="Suresh Singh"/>
        <s v="Suresh Shinde"/>
        <s v="Vijay Bose"/>
        <s v="Priya Sawant"/>
        <s v="Geeta Jadhav"/>
        <s v="Shreya Yadav"/>
        <s v="Manish More"/>
        <s v="Anil Gaikwad"/>
        <s v="Kavya Rao"/>
        <s v="Vijay Verma"/>
        <s v="Manish Yadav"/>
        <s v="Sunita Verma"/>
        <s v="Rohit Gaikwad"/>
        <s v="Sneha Singh"/>
        <s v="Rahul Tiwari"/>
        <s v="Anil Tiwari"/>
        <s v="Vijay Mehta"/>
        <s v="Karan Bose"/>
        <s v="Rajesh Singh"/>
        <s v="Anjali Pawar"/>
        <s v="Nikhil Kulkarni"/>
        <s v="Deepak Verma"/>
        <s v="Anjali Gupta"/>
        <s v="Kavya More"/>
        <s v="Manish Desai"/>
        <s v="Priya More"/>
        <s v="Priya Bose"/>
        <s v="Anil Deshpande"/>
        <s v="Pallavi Rao"/>
        <s v="Sunita Deshpande"/>
        <s v="Geeta More"/>
        <s v="Vikram Pillai"/>
        <s v="Santosh Kadam"/>
        <s v="Deepak Desai"/>
        <s v="Neha Iyer"/>
        <s v="Pallavi Mishra"/>
        <s v="Pallavi Singh"/>
        <s v="Asha Kadam"/>
        <s v="Ravi Khan"/>
        <s v="Karan Singh"/>
        <s v="Sneha Mishra"/>
        <s v="Sunita Khan"/>
        <s v="Pooja Tiwari"/>
        <s v="Manish Gaikwad"/>
        <s v="Rohit Deshpande"/>
        <s v="Anita Nair"/>
        <s v="Meena Desai"/>
        <s v="Divya Joshi"/>
      </sharedItems>
    </cacheField>
    <cacheField name="Department" numFmtId="0">
      <sharedItems count="8">
        <s v="Marketing"/>
        <s v="HR"/>
        <s v="Customer Support"/>
        <s v="Operations"/>
        <s v="Sales"/>
        <s v="Finance"/>
        <s v="Admin"/>
        <s v="IT"/>
      </sharedItems>
    </cacheField>
    <cacheField name="Branch" numFmtId="0">
      <sharedItems count="8">
        <s v="Nagpur"/>
        <s v="Kolhapur"/>
        <s v="Navi Mumbai"/>
        <s v="Aurangabad"/>
        <s v="Thane"/>
        <s v="Nashik"/>
        <s v="Mumbai"/>
        <s v="Pune"/>
      </sharedItems>
    </cacheField>
    <cacheField name="Designation" numFmtId="0">
      <sharedItems/>
    </cacheField>
    <cacheField name="Salary (₹)" numFmtId="3">
      <sharedItems containsSemiMixedTypes="0" containsString="0" containsNumber="1" containsInteger="1" minValue="15000" maxValue="143000"/>
    </cacheField>
    <cacheField name="Performance Rating" numFmtId="0">
      <sharedItems count="5">
        <s v="Average"/>
        <s v="Below Average"/>
        <s v="Excellent"/>
        <s v="Good"/>
        <s v="Poor"/>
      </sharedItems>
    </cacheField>
    <cacheField name="Joining Month" numFmtId="0">
      <sharedItems count="12">
        <s v="Apr"/>
        <s v="May"/>
        <s v="Jun"/>
        <s v="Jul"/>
        <s v="Aug"/>
        <s v="Sep"/>
        <s v="Oct"/>
        <s v="Nov"/>
        <s v="Dec"/>
        <s v="Jan"/>
        <s v="Feb"/>
        <s v="Mar"/>
      </sharedItems>
    </cacheField>
    <cacheField name="Years of Experience" numFmtId="0">
      <sharedItems containsSemiMixedTypes="0" containsString="0" containsNumber="1" containsInteger="1" minValue="0" maxValue="18"/>
    </cacheField>
    <cacheField name="Gender" numFmtId="0">
      <sharedItems count="2">
        <s v="Female"/>
        <s v="Male"/>
      </sharedItems>
    </cacheField>
    <cacheField name="Employment Type" numFmtId="0">
      <sharedItems/>
    </cacheField>
    <cacheField name="Leave Taken" numFmtId="0">
      <sharedItems containsSemiMixedTypes="0" containsString="0" containsNumber="1" containsInteger="1" minValue="0" maxValue="12"/>
    </cacheField>
  </cacheFields>
  <extLst>
    <ext xmlns:x14="http://schemas.microsoft.com/office/spreadsheetml/2009/9/main" uri="{725AE2AE-9491-48be-B2B4-4EB974FC3084}">
      <x14:pivotCacheDefinition pivotCacheId="1379425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
  <r>
    <n v="1"/>
    <s v="EMP-2001"/>
    <x v="0"/>
    <x v="0"/>
    <x v="0"/>
    <s v="Marketing Manager"/>
    <n v="60000"/>
    <x v="0"/>
    <x v="0"/>
    <n v="1"/>
    <x v="0"/>
    <s v="Permanent"/>
    <n v="6"/>
  </r>
  <r>
    <n v="2"/>
    <s v="EMP-2002"/>
    <x v="1"/>
    <x v="0"/>
    <x v="1"/>
    <s v="Marketing Manager"/>
    <n v="32000"/>
    <x v="1"/>
    <x v="0"/>
    <n v="11"/>
    <x v="1"/>
    <s v="Permanent"/>
    <n v="6"/>
  </r>
  <r>
    <n v="3"/>
    <s v="EMP-2003"/>
    <x v="2"/>
    <x v="1"/>
    <x v="0"/>
    <s v="Sr HR Executive"/>
    <n v="34000"/>
    <x v="2"/>
    <x v="0"/>
    <n v="10"/>
    <x v="1"/>
    <s v="Permanent"/>
    <n v="8"/>
  </r>
  <r>
    <n v="4"/>
    <s v="EMP-2004"/>
    <x v="3"/>
    <x v="1"/>
    <x v="1"/>
    <s v="HR Head"/>
    <n v="67000"/>
    <x v="3"/>
    <x v="0"/>
    <n v="11"/>
    <x v="0"/>
    <s v="Permanent"/>
    <n v="5"/>
  </r>
  <r>
    <n v="5"/>
    <s v="EMP-2005"/>
    <x v="4"/>
    <x v="1"/>
    <x v="2"/>
    <s v="HR Head"/>
    <n v="61000"/>
    <x v="3"/>
    <x v="0"/>
    <n v="15"/>
    <x v="0"/>
    <s v="Permanent"/>
    <n v="8"/>
  </r>
  <r>
    <n v="6"/>
    <s v="EMP-2006"/>
    <x v="5"/>
    <x v="0"/>
    <x v="1"/>
    <s v="CMO"/>
    <n v="72000"/>
    <x v="3"/>
    <x v="0"/>
    <n v="17"/>
    <x v="1"/>
    <s v="Permanent"/>
    <n v="10"/>
  </r>
  <r>
    <n v="7"/>
    <s v="EMP-2007"/>
    <x v="6"/>
    <x v="1"/>
    <x v="3"/>
    <s v="HR Head"/>
    <n v="39000"/>
    <x v="3"/>
    <x v="0"/>
    <n v="16"/>
    <x v="0"/>
    <s v="Intern"/>
    <n v="4"/>
  </r>
  <r>
    <n v="8"/>
    <s v="EMP-2008"/>
    <x v="7"/>
    <x v="2"/>
    <x v="4"/>
    <s v="Support Executive"/>
    <n v="41000"/>
    <x v="0"/>
    <x v="0"/>
    <n v="6"/>
    <x v="0"/>
    <s v="Permanent"/>
    <n v="9"/>
  </r>
  <r>
    <n v="9"/>
    <s v="EMP-2009"/>
    <x v="8"/>
    <x v="3"/>
    <x v="5"/>
    <s v="Operations Executive"/>
    <n v="66000"/>
    <x v="3"/>
    <x v="0"/>
    <n v="8"/>
    <x v="1"/>
    <s v="Contractual"/>
    <n v="0"/>
  </r>
  <r>
    <n v="10"/>
    <s v="EMP-2010"/>
    <x v="2"/>
    <x v="4"/>
    <x v="6"/>
    <s v="Sales Manager"/>
    <n v="68000"/>
    <x v="2"/>
    <x v="0"/>
    <n v="0"/>
    <x v="0"/>
    <s v="Permanent"/>
    <n v="1"/>
  </r>
  <r>
    <n v="11"/>
    <s v="EMP-2011"/>
    <x v="9"/>
    <x v="4"/>
    <x v="4"/>
    <s v="Sales Manager"/>
    <n v="38000"/>
    <x v="0"/>
    <x v="0"/>
    <n v="5"/>
    <x v="1"/>
    <s v="Permanent"/>
    <n v="6"/>
  </r>
  <r>
    <n v="12"/>
    <s v="EMP-2012"/>
    <x v="10"/>
    <x v="5"/>
    <x v="0"/>
    <s v="Accounts Executive"/>
    <n v="25000"/>
    <x v="3"/>
    <x v="0"/>
    <n v="3"/>
    <x v="0"/>
    <s v="Permanent"/>
    <n v="7"/>
  </r>
  <r>
    <n v="13"/>
    <s v="EMP-2013"/>
    <x v="11"/>
    <x v="2"/>
    <x v="6"/>
    <s v="Support Manager"/>
    <n v="45000"/>
    <x v="1"/>
    <x v="0"/>
    <n v="4"/>
    <x v="1"/>
    <s v="Contractual"/>
    <n v="1"/>
  </r>
  <r>
    <n v="14"/>
    <s v="EMP-2014"/>
    <x v="12"/>
    <x v="0"/>
    <x v="7"/>
    <s v="Marketing Executive"/>
    <n v="85000"/>
    <x v="0"/>
    <x v="0"/>
    <n v="4"/>
    <x v="0"/>
    <s v="Intern"/>
    <n v="7"/>
  </r>
  <r>
    <n v="15"/>
    <s v="EMP-2015"/>
    <x v="13"/>
    <x v="1"/>
    <x v="4"/>
    <s v="HR Manager"/>
    <n v="36000"/>
    <x v="0"/>
    <x v="0"/>
    <n v="13"/>
    <x v="1"/>
    <s v="Permanent"/>
    <n v="10"/>
  </r>
  <r>
    <n v="16"/>
    <s v="EMP-2016"/>
    <x v="14"/>
    <x v="4"/>
    <x v="0"/>
    <s v="Sr Sales Executive"/>
    <n v="43000"/>
    <x v="2"/>
    <x v="0"/>
    <n v="7"/>
    <x v="0"/>
    <s v="Permanent"/>
    <n v="3"/>
  </r>
  <r>
    <n v="17"/>
    <s v="EMP-2017"/>
    <x v="15"/>
    <x v="2"/>
    <x v="7"/>
    <s v="Support Manager"/>
    <n v="25000"/>
    <x v="3"/>
    <x v="0"/>
    <n v="11"/>
    <x v="0"/>
    <s v="Intern"/>
    <n v="4"/>
  </r>
  <r>
    <n v="18"/>
    <s v="EMP-2018"/>
    <x v="16"/>
    <x v="4"/>
    <x v="0"/>
    <s v="Sales Executive"/>
    <n v="71000"/>
    <x v="3"/>
    <x v="0"/>
    <n v="3"/>
    <x v="0"/>
    <s v="Permanent"/>
    <n v="3"/>
  </r>
  <r>
    <n v="19"/>
    <s v="EMP-2019"/>
    <x v="17"/>
    <x v="4"/>
    <x v="0"/>
    <s v="Sr Sales Executive"/>
    <n v="35000"/>
    <x v="2"/>
    <x v="0"/>
    <n v="16"/>
    <x v="1"/>
    <s v="Permanent"/>
    <n v="4"/>
  </r>
  <r>
    <n v="20"/>
    <s v="EMP-2020"/>
    <x v="18"/>
    <x v="6"/>
    <x v="5"/>
    <s v="Sr Admin"/>
    <n v="42000"/>
    <x v="3"/>
    <x v="0"/>
    <n v="0"/>
    <x v="0"/>
    <s v="Permanent"/>
    <n v="6"/>
  </r>
  <r>
    <n v="21"/>
    <s v="EMP-2021"/>
    <x v="19"/>
    <x v="1"/>
    <x v="7"/>
    <s v="HR Head"/>
    <n v="43000"/>
    <x v="2"/>
    <x v="0"/>
    <n v="3"/>
    <x v="0"/>
    <s v="Permanent"/>
    <n v="4"/>
  </r>
  <r>
    <n v="22"/>
    <s v="EMP-2022"/>
    <x v="20"/>
    <x v="0"/>
    <x v="3"/>
    <s v="Marketing Executive"/>
    <n v="80000"/>
    <x v="2"/>
    <x v="0"/>
    <n v="9"/>
    <x v="1"/>
    <s v="Permanent"/>
    <n v="12"/>
  </r>
  <r>
    <n v="23"/>
    <s v="EMP-2023"/>
    <x v="21"/>
    <x v="6"/>
    <x v="1"/>
    <s v="GM Admin"/>
    <n v="28000"/>
    <x v="1"/>
    <x v="0"/>
    <n v="2"/>
    <x v="1"/>
    <s v="Permanent"/>
    <n v="0"/>
  </r>
  <r>
    <n v="24"/>
    <s v="EMP-2024"/>
    <x v="22"/>
    <x v="7"/>
    <x v="5"/>
    <s v="IT Manager"/>
    <n v="59000"/>
    <x v="2"/>
    <x v="0"/>
    <n v="11"/>
    <x v="0"/>
    <s v="Permanent"/>
    <n v="2"/>
  </r>
  <r>
    <n v="25"/>
    <s v="EMP-2025"/>
    <x v="23"/>
    <x v="6"/>
    <x v="7"/>
    <s v="Admin Manager"/>
    <n v="22000"/>
    <x v="2"/>
    <x v="0"/>
    <n v="10"/>
    <x v="0"/>
    <s v="Contractual"/>
    <n v="11"/>
  </r>
  <r>
    <n v="26"/>
    <s v="EMP-2026"/>
    <x v="24"/>
    <x v="2"/>
    <x v="6"/>
    <s v="Head Support"/>
    <n v="38000"/>
    <x v="3"/>
    <x v="0"/>
    <n v="14"/>
    <x v="1"/>
    <s v="Permanent"/>
    <n v="4"/>
  </r>
  <r>
    <n v="27"/>
    <s v="EMP-2027"/>
    <x v="25"/>
    <x v="2"/>
    <x v="2"/>
    <s v="Head Support"/>
    <n v="63000"/>
    <x v="3"/>
    <x v="0"/>
    <n v="7"/>
    <x v="1"/>
    <s v="Permanent"/>
    <n v="9"/>
  </r>
  <r>
    <n v="28"/>
    <s v="EMP-2028"/>
    <x v="26"/>
    <x v="6"/>
    <x v="7"/>
    <s v="Admin Executive"/>
    <n v="19000"/>
    <x v="3"/>
    <x v="0"/>
    <n v="17"/>
    <x v="1"/>
    <s v="Intern"/>
    <n v="1"/>
  </r>
  <r>
    <n v="29"/>
    <s v="EMP-2029"/>
    <x v="27"/>
    <x v="4"/>
    <x v="0"/>
    <s v="Sales Manager"/>
    <n v="71000"/>
    <x v="2"/>
    <x v="0"/>
    <n v="10"/>
    <x v="1"/>
    <s v="Permanent"/>
    <n v="8"/>
  </r>
  <r>
    <n v="30"/>
    <s v="EMP-2030"/>
    <x v="28"/>
    <x v="1"/>
    <x v="2"/>
    <s v="HR Executive"/>
    <n v="41000"/>
    <x v="3"/>
    <x v="0"/>
    <n v="16"/>
    <x v="0"/>
    <s v="Permanent"/>
    <n v="2"/>
  </r>
  <r>
    <n v="31"/>
    <s v="EMP-2031"/>
    <x v="29"/>
    <x v="5"/>
    <x v="2"/>
    <s v="Finance Manager"/>
    <n v="98000"/>
    <x v="0"/>
    <x v="0"/>
    <n v="14"/>
    <x v="1"/>
    <s v="Permanent"/>
    <n v="12"/>
  </r>
  <r>
    <n v="32"/>
    <s v="EMP-2032"/>
    <x v="30"/>
    <x v="1"/>
    <x v="2"/>
    <s v="HR Executive"/>
    <n v="50000"/>
    <x v="3"/>
    <x v="0"/>
    <n v="8"/>
    <x v="0"/>
    <s v="Permanent"/>
    <n v="5"/>
  </r>
  <r>
    <n v="33"/>
    <s v="EMP-2033"/>
    <x v="31"/>
    <x v="7"/>
    <x v="5"/>
    <s v="Sr Developer"/>
    <n v="86000"/>
    <x v="0"/>
    <x v="0"/>
    <n v="12"/>
    <x v="1"/>
    <s v="Permanent"/>
    <n v="7"/>
  </r>
  <r>
    <n v="34"/>
    <s v="EMP-2034"/>
    <x v="32"/>
    <x v="2"/>
    <x v="0"/>
    <s v="Support Executive"/>
    <n v="21000"/>
    <x v="3"/>
    <x v="0"/>
    <n v="6"/>
    <x v="0"/>
    <s v="Intern"/>
    <n v="3"/>
  </r>
  <r>
    <n v="35"/>
    <s v="EMP-2035"/>
    <x v="33"/>
    <x v="6"/>
    <x v="5"/>
    <s v="Admin Manager"/>
    <n v="52000"/>
    <x v="3"/>
    <x v="0"/>
    <n v="15"/>
    <x v="0"/>
    <s v="Permanent"/>
    <n v="0"/>
  </r>
  <r>
    <n v="36"/>
    <s v="EMP-2036"/>
    <x v="34"/>
    <x v="6"/>
    <x v="1"/>
    <s v="Admin Manager"/>
    <n v="47000"/>
    <x v="3"/>
    <x v="0"/>
    <n v="14"/>
    <x v="1"/>
    <s v="Permanent"/>
    <n v="5"/>
  </r>
  <r>
    <n v="37"/>
    <s v="EMP-2037"/>
    <x v="35"/>
    <x v="2"/>
    <x v="7"/>
    <s v="Head Support"/>
    <n v="63000"/>
    <x v="1"/>
    <x v="0"/>
    <n v="14"/>
    <x v="0"/>
    <s v="Permanent"/>
    <n v="0"/>
  </r>
  <r>
    <n v="38"/>
    <s v="EMP-2038"/>
    <x v="36"/>
    <x v="0"/>
    <x v="0"/>
    <s v="CMO"/>
    <n v="60000"/>
    <x v="0"/>
    <x v="0"/>
    <n v="4"/>
    <x v="1"/>
    <s v="Permanent"/>
    <n v="7"/>
  </r>
  <r>
    <n v="39"/>
    <s v="EMP-2039"/>
    <x v="37"/>
    <x v="3"/>
    <x v="0"/>
    <s v="Operations Executive"/>
    <n v="36000"/>
    <x v="3"/>
    <x v="0"/>
    <n v="0"/>
    <x v="1"/>
    <s v="Permanent"/>
    <n v="8"/>
  </r>
  <r>
    <n v="40"/>
    <s v="EMP-2040"/>
    <x v="38"/>
    <x v="2"/>
    <x v="5"/>
    <s v="Support Manager"/>
    <n v="51000"/>
    <x v="0"/>
    <x v="0"/>
    <n v="15"/>
    <x v="0"/>
    <s v="Permanent"/>
    <n v="1"/>
  </r>
  <r>
    <n v="41"/>
    <s v="EMP-2041"/>
    <x v="39"/>
    <x v="0"/>
    <x v="3"/>
    <s v="Marketing Manager"/>
    <n v="67000"/>
    <x v="0"/>
    <x v="0"/>
    <n v="12"/>
    <x v="0"/>
    <s v="Permanent"/>
    <n v="8"/>
  </r>
  <r>
    <n v="42"/>
    <s v="EMP-2042"/>
    <x v="40"/>
    <x v="6"/>
    <x v="0"/>
    <s v="Admin Executive"/>
    <n v="34000"/>
    <x v="2"/>
    <x v="0"/>
    <n v="14"/>
    <x v="0"/>
    <s v="Contractual"/>
    <n v="8"/>
  </r>
  <r>
    <n v="43"/>
    <s v="EMP-2043"/>
    <x v="41"/>
    <x v="7"/>
    <x v="2"/>
    <s v="Tech Lead"/>
    <n v="62000"/>
    <x v="3"/>
    <x v="1"/>
    <n v="2"/>
    <x v="1"/>
    <s v="Permanent"/>
    <n v="5"/>
  </r>
  <r>
    <n v="44"/>
    <s v="EMP-2044"/>
    <x v="42"/>
    <x v="2"/>
    <x v="3"/>
    <s v="Head Support"/>
    <n v="28000"/>
    <x v="1"/>
    <x v="1"/>
    <n v="14"/>
    <x v="1"/>
    <s v="Permanent"/>
    <n v="5"/>
  </r>
  <r>
    <n v="45"/>
    <s v="EMP-2045"/>
    <x v="43"/>
    <x v="5"/>
    <x v="1"/>
    <s v="Sr Accountant"/>
    <n v="72000"/>
    <x v="2"/>
    <x v="1"/>
    <n v="4"/>
    <x v="1"/>
    <s v="Contractual"/>
    <n v="4"/>
  </r>
  <r>
    <n v="46"/>
    <s v="EMP-2046"/>
    <x v="44"/>
    <x v="6"/>
    <x v="2"/>
    <s v="Admin Manager"/>
    <n v="32000"/>
    <x v="1"/>
    <x v="1"/>
    <n v="16"/>
    <x v="0"/>
    <s v="Permanent"/>
    <n v="11"/>
  </r>
  <r>
    <n v="47"/>
    <s v="EMP-2047"/>
    <x v="45"/>
    <x v="3"/>
    <x v="7"/>
    <s v="Ops Manager"/>
    <n v="37000"/>
    <x v="3"/>
    <x v="1"/>
    <n v="5"/>
    <x v="0"/>
    <s v="Permanent"/>
    <n v="7"/>
  </r>
  <r>
    <n v="48"/>
    <s v="EMP-2048"/>
    <x v="46"/>
    <x v="1"/>
    <x v="4"/>
    <s v="HR Head"/>
    <n v="28000"/>
    <x v="4"/>
    <x v="1"/>
    <n v="3"/>
    <x v="1"/>
    <s v="Permanent"/>
    <n v="5"/>
  </r>
  <r>
    <n v="49"/>
    <s v="EMP-2049"/>
    <x v="47"/>
    <x v="6"/>
    <x v="6"/>
    <s v="Admin Manager"/>
    <n v="30000"/>
    <x v="0"/>
    <x v="1"/>
    <n v="12"/>
    <x v="0"/>
    <s v="Permanent"/>
    <n v="7"/>
  </r>
  <r>
    <n v="50"/>
    <s v="EMP-2050"/>
    <x v="48"/>
    <x v="1"/>
    <x v="4"/>
    <s v="HR Manager"/>
    <n v="32000"/>
    <x v="1"/>
    <x v="1"/>
    <n v="3"/>
    <x v="1"/>
    <s v="Contractual"/>
    <n v="5"/>
  </r>
  <r>
    <n v="51"/>
    <s v="EMP-2051"/>
    <x v="49"/>
    <x v="6"/>
    <x v="4"/>
    <s v="Admin Manager"/>
    <n v="20000"/>
    <x v="3"/>
    <x v="1"/>
    <n v="7"/>
    <x v="1"/>
    <s v="Permanent"/>
    <n v="5"/>
  </r>
  <r>
    <n v="52"/>
    <s v="EMP-2052"/>
    <x v="50"/>
    <x v="4"/>
    <x v="0"/>
    <s v="Sr Sales Executive"/>
    <n v="30000"/>
    <x v="3"/>
    <x v="1"/>
    <n v="8"/>
    <x v="1"/>
    <s v="Permanent"/>
    <n v="8"/>
  </r>
  <r>
    <n v="53"/>
    <s v="EMP-2053"/>
    <x v="51"/>
    <x v="7"/>
    <x v="4"/>
    <s v="IT Manager"/>
    <n v="64000"/>
    <x v="4"/>
    <x v="1"/>
    <n v="12"/>
    <x v="1"/>
    <s v="Permanent"/>
    <n v="9"/>
  </r>
  <r>
    <n v="54"/>
    <s v="EMP-2054"/>
    <x v="52"/>
    <x v="7"/>
    <x v="1"/>
    <s v="IT Manager"/>
    <n v="142000"/>
    <x v="0"/>
    <x v="1"/>
    <n v="5"/>
    <x v="0"/>
    <s v="Intern"/>
    <n v="8"/>
  </r>
  <r>
    <n v="55"/>
    <s v="EMP-2055"/>
    <x v="21"/>
    <x v="7"/>
    <x v="1"/>
    <s v="Sr Developer"/>
    <n v="50000"/>
    <x v="1"/>
    <x v="1"/>
    <n v="16"/>
    <x v="1"/>
    <s v="Permanent"/>
    <n v="6"/>
  </r>
  <r>
    <n v="56"/>
    <s v="EMP-2056"/>
    <x v="53"/>
    <x v="4"/>
    <x v="3"/>
    <s v="Sales Executive"/>
    <n v="66000"/>
    <x v="2"/>
    <x v="1"/>
    <n v="0"/>
    <x v="1"/>
    <s v="Intern"/>
    <n v="10"/>
  </r>
  <r>
    <n v="57"/>
    <s v="EMP-2057"/>
    <x v="54"/>
    <x v="2"/>
    <x v="6"/>
    <s v="Head Support"/>
    <n v="35000"/>
    <x v="2"/>
    <x v="1"/>
    <n v="4"/>
    <x v="0"/>
    <s v="Permanent"/>
    <n v="2"/>
  </r>
  <r>
    <n v="58"/>
    <s v="EMP-2058"/>
    <x v="55"/>
    <x v="4"/>
    <x v="6"/>
    <s v="Sr Sales Executive"/>
    <n v="91000"/>
    <x v="1"/>
    <x v="1"/>
    <n v="16"/>
    <x v="1"/>
    <s v="Contractual"/>
    <n v="2"/>
  </r>
  <r>
    <n v="59"/>
    <s v="EMP-2059"/>
    <x v="56"/>
    <x v="4"/>
    <x v="0"/>
    <s v="Sales Executive"/>
    <n v="53000"/>
    <x v="2"/>
    <x v="1"/>
    <n v="6"/>
    <x v="1"/>
    <s v="Contractual"/>
    <n v="10"/>
  </r>
  <r>
    <n v="60"/>
    <s v="EMP-2060"/>
    <x v="57"/>
    <x v="6"/>
    <x v="0"/>
    <s v="Admin Executive"/>
    <n v="24000"/>
    <x v="0"/>
    <x v="1"/>
    <n v="6"/>
    <x v="1"/>
    <s v="Intern"/>
    <n v="3"/>
  </r>
  <r>
    <n v="61"/>
    <s v="EMP-2061"/>
    <x v="58"/>
    <x v="6"/>
    <x v="0"/>
    <s v="GM Admin"/>
    <n v="23000"/>
    <x v="3"/>
    <x v="1"/>
    <n v="9"/>
    <x v="0"/>
    <s v="Permanent"/>
    <n v="7"/>
  </r>
  <r>
    <n v="62"/>
    <s v="EMP-2062"/>
    <x v="59"/>
    <x v="2"/>
    <x v="3"/>
    <s v="Sr Support"/>
    <n v="46000"/>
    <x v="0"/>
    <x v="1"/>
    <n v="17"/>
    <x v="0"/>
    <s v="Permanent"/>
    <n v="9"/>
  </r>
  <r>
    <n v="63"/>
    <s v="EMP-2063"/>
    <x v="60"/>
    <x v="5"/>
    <x v="5"/>
    <s v="Sr Accountant"/>
    <n v="75000"/>
    <x v="3"/>
    <x v="1"/>
    <n v="4"/>
    <x v="1"/>
    <s v="Permanent"/>
    <n v="11"/>
  </r>
  <r>
    <n v="64"/>
    <s v="EMP-2064"/>
    <x v="61"/>
    <x v="4"/>
    <x v="5"/>
    <s v="Sr Sales Executive"/>
    <n v="62000"/>
    <x v="2"/>
    <x v="1"/>
    <n v="6"/>
    <x v="0"/>
    <s v="Permanent"/>
    <n v="10"/>
  </r>
  <r>
    <n v="65"/>
    <s v="EMP-2065"/>
    <x v="62"/>
    <x v="1"/>
    <x v="7"/>
    <s v="HR Head"/>
    <n v="60000"/>
    <x v="3"/>
    <x v="1"/>
    <n v="6"/>
    <x v="1"/>
    <s v="Permanent"/>
    <n v="11"/>
  </r>
  <r>
    <n v="66"/>
    <s v="EMP-2066"/>
    <x v="63"/>
    <x v="7"/>
    <x v="2"/>
    <s v="IT Manager"/>
    <n v="120000"/>
    <x v="0"/>
    <x v="1"/>
    <n v="14"/>
    <x v="0"/>
    <s v="Permanent"/>
    <n v="10"/>
  </r>
  <r>
    <n v="67"/>
    <s v="EMP-2067"/>
    <x v="64"/>
    <x v="3"/>
    <x v="6"/>
    <s v="Sr Operations"/>
    <n v="44000"/>
    <x v="3"/>
    <x v="1"/>
    <n v="17"/>
    <x v="0"/>
    <s v="Contractual"/>
    <n v="6"/>
  </r>
  <r>
    <n v="68"/>
    <s v="EMP-2068"/>
    <x v="65"/>
    <x v="1"/>
    <x v="1"/>
    <s v="HR Head"/>
    <n v="42000"/>
    <x v="3"/>
    <x v="1"/>
    <n v="8"/>
    <x v="0"/>
    <s v="Contractual"/>
    <n v="9"/>
  </r>
  <r>
    <n v="69"/>
    <s v="EMP-2069"/>
    <x v="66"/>
    <x v="5"/>
    <x v="1"/>
    <s v="Finance Manager"/>
    <n v="64000"/>
    <x v="2"/>
    <x v="1"/>
    <n v="11"/>
    <x v="0"/>
    <s v="Permanent"/>
    <n v="3"/>
  </r>
  <r>
    <n v="70"/>
    <s v="EMP-2070"/>
    <x v="67"/>
    <x v="1"/>
    <x v="3"/>
    <s v="Sr HR Executive"/>
    <n v="54000"/>
    <x v="0"/>
    <x v="1"/>
    <n v="9"/>
    <x v="0"/>
    <s v="Permanent"/>
    <n v="12"/>
  </r>
  <r>
    <n v="71"/>
    <s v="EMP-2071"/>
    <x v="68"/>
    <x v="5"/>
    <x v="4"/>
    <s v="Accounts Executive"/>
    <n v="65000"/>
    <x v="3"/>
    <x v="1"/>
    <n v="10"/>
    <x v="1"/>
    <s v="Permanent"/>
    <n v="6"/>
  </r>
  <r>
    <n v="72"/>
    <s v="EMP-2072"/>
    <x v="69"/>
    <x v="4"/>
    <x v="3"/>
    <s v="Sr Sales Executive"/>
    <n v="49000"/>
    <x v="2"/>
    <x v="1"/>
    <n v="12"/>
    <x v="0"/>
    <s v="Permanent"/>
    <n v="4"/>
  </r>
  <r>
    <n v="73"/>
    <s v="EMP-2073"/>
    <x v="70"/>
    <x v="2"/>
    <x v="1"/>
    <s v="Sr Support"/>
    <n v="29000"/>
    <x v="3"/>
    <x v="1"/>
    <n v="7"/>
    <x v="1"/>
    <s v="Permanent"/>
    <n v="9"/>
  </r>
  <r>
    <n v="74"/>
    <s v="EMP-2074"/>
    <x v="71"/>
    <x v="6"/>
    <x v="2"/>
    <s v="Sr Admin"/>
    <n v="56000"/>
    <x v="2"/>
    <x v="1"/>
    <n v="1"/>
    <x v="0"/>
    <s v="Contractual"/>
    <n v="2"/>
  </r>
  <r>
    <n v="75"/>
    <s v="EMP-2075"/>
    <x v="72"/>
    <x v="6"/>
    <x v="2"/>
    <s v="Admin Executive"/>
    <n v="44000"/>
    <x v="3"/>
    <x v="1"/>
    <n v="15"/>
    <x v="0"/>
    <s v="Permanent"/>
    <n v="3"/>
  </r>
  <r>
    <n v="76"/>
    <s v="EMP-2076"/>
    <x v="73"/>
    <x v="4"/>
    <x v="7"/>
    <s v="Sales Executive"/>
    <n v="28000"/>
    <x v="3"/>
    <x v="1"/>
    <n v="13"/>
    <x v="0"/>
    <s v="Contractual"/>
    <n v="8"/>
  </r>
  <r>
    <n v="77"/>
    <s v="EMP-2077"/>
    <x v="74"/>
    <x v="0"/>
    <x v="4"/>
    <s v="CMO"/>
    <n v="36000"/>
    <x v="0"/>
    <x v="1"/>
    <n v="7"/>
    <x v="0"/>
    <s v="Permanent"/>
    <n v="0"/>
  </r>
  <r>
    <n v="78"/>
    <s v="EMP-2078"/>
    <x v="75"/>
    <x v="1"/>
    <x v="0"/>
    <s v="Sr HR Executive"/>
    <n v="40000"/>
    <x v="2"/>
    <x v="1"/>
    <n v="1"/>
    <x v="0"/>
    <s v="Permanent"/>
    <n v="10"/>
  </r>
  <r>
    <n v="79"/>
    <s v="EMP-2079"/>
    <x v="76"/>
    <x v="7"/>
    <x v="7"/>
    <s v="Sr Developer"/>
    <n v="90000"/>
    <x v="0"/>
    <x v="1"/>
    <n v="1"/>
    <x v="0"/>
    <s v="Permanent"/>
    <n v="7"/>
  </r>
  <r>
    <n v="80"/>
    <s v="EMP-2080"/>
    <x v="77"/>
    <x v="0"/>
    <x v="4"/>
    <s v="Marketing Executive"/>
    <n v="74000"/>
    <x v="2"/>
    <x v="1"/>
    <n v="11"/>
    <x v="1"/>
    <s v="Permanent"/>
    <n v="12"/>
  </r>
  <r>
    <n v="81"/>
    <s v="EMP-2081"/>
    <x v="78"/>
    <x v="3"/>
    <x v="0"/>
    <s v="Operations Executive"/>
    <n v="20000"/>
    <x v="3"/>
    <x v="1"/>
    <n v="0"/>
    <x v="1"/>
    <s v="Permanent"/>
    <n v="10"/>
  </r>
  <r>
    <n v="82"/>
    <s v="EMP-2082"/>
    <x v="79"/>
    <x v="6"/>
    <x v="2"/>
    <s v="GM Admin"/>
    <n v="30000"/>
    <x v="0"/>
    <x v="1"/>
    <n v="5"/>
    <x v="0"/>
    <s v="Permanent"/>
    <n v="0"/>
  </r>
  <r>
    <n v="83"/>
    <s v="EMP-2083"/>
    <x v="80"/>
    <x v="0"/>
    <x v="0"/>
    <s v="Marketing Manager"/>
    <n v="30000"/>
    <x v="1"/>
    <x v="1"/>
    <n v="1"/>
    <x v="1"/>
    <s v="Contractual"/>
    <n v="6"/>
  </r>
  <r>
    <n v="84"/>
    <s v="EMP-2084"/>
    <x v="47"/>
    <x v="0"/>
    <x v="7"/>
    <s v="Marketing Executive"/>
    <n v="59000"/>
    <x v="2"/>
    <x v="1"/>
    <n v="6"/>
    <x v="0"/>
    <s v="Permanent"/>
    <n v="11"/>
  </r>
  <r>
    <n v="85"/>
    <s v="EMP-2085"/>
    <x v="81"/>
    <x v="3"/>
    <x v="5"/>
    <s v="Operations Executive"/>
    <n v="51000"/>
    <x v="3"/>
    <x v="1"/>
    <n v="16"/>
    <x v="0"/>
    <s v="Intern"/>
    <n v="12"/>
  </r>
  <r>
    <n v="86"/>
    <s v="EMP-2086"/>
    <x v="82"/>
    <x v="6"/>
    <x v="0"/>
    <s v="GM Admin"/>
    <n v="38000"/>
    <x v="2"/>
    <x v="1"/>
    <n v="18"/>
    <x v="1"/>
    <s v="Permanent"/>
    <n v="6"/>
  </r>
  <r>
    <n v="87"/>
    <s v="EMP-2087"/>
    <x v="83"/>
    <x v="2"/>
    <x v="0"/>
    <s v="Head Support"/>
    <n v="58000"/>
    <x v="4"/>
    <x v="1"/>
    <n v="11"/>
    <x v="1"/>
    <s v="Permanent"/>
    <n v="4"/>
  </r>
  <r>
    <n v="88"/>
    <s v="EMP-2088"/>
    <x v="84"/>
    <x v="1"/>
    <x v="2"/>
    <s v="HR Manager"/>
    <n v="48000"/>
    <x v="3"/>
    <x v="1"/>
    <n v="6"/>
    <x v="0"/>
    <s v="Intern"/>
    <n v="4"/>
  </r>
  <r>
    <n v="89"/>
    <s v="EMP-2089"/>
    <x v="85"/>
    <x v="4"/>
    <x v="2"/>
    <s v="Sales Executive"/>
    <n v="76000"/>
    <x v="3"/>
    <x v="2"/>
    <n v="0"/>
    <x v="0"/>
    <s v="Permanent"/>
    <n v="9"/>
  </r>
  <r>
    <n v="90"/>
    <s v="EMP-2090"/>
    <x v="86"/>
    <x v="3"/>
    <x v="5"/>
    <s v="VP Operations"/>
    <n v="63000"/>
    <x v="3"/>
    <x v="2"/>
    <n v="16"/>
    <x v="0"/>
    <s v="Permanent"/>
    <n v="10"/>
  </r>
  <r>
    <n v="91"/>
    <s v="EMP-2091"/>
    <x v="87"/>
    <x v="1"/>
    <x v="1"/>
    <s v="HR Manager"/>
    <n v="80000"/>
    <x v="1"/>
    <x v="2"/>
    <n v="11"/>
    <x v="0"/>
    <s v="Permanent"/>
    <n v="8"/>
  </r>
  <r>
    <n v="92"/>
    <s v="EMP-2092"/>
    <x v="88"/>
    <x v="5"/>
    <x v="2"/>
    <s v="Accounts Executive"/>
    <n v="80000"/>
    <x v="3"/>
    <x v="2"/>
    <n v="16"/>
    <x v="1"/>
    <s v="Permanent"/>
    <n v="11"/>
  </r>
  <r>
    <n v="93"/>
    <s v="EMP-2093"/>
    <x v="89"/>
    <x v="2"/>
    <x v="4"/>
    <s v="Support Manager"/>
    <n v="30000"/>
    <x v="2"/>
    <x v="2"/>
    <n v="5"/>
    <x v="0"/>
    <s v="Permanent"/>
    <n v="7"/>
  </r>
  <r>
    <n v="94"/>
    <s v="EMP-2094"/>
    <x v="64"/>
    <x v="1"/>
    <x v="2"/>
    <s v="HR Manager"/>
    <n v="78000"/>
    <x v="3"/>
    <x v="2"/>
    <n v="12"/>
    <x v="0"/>
    <s v="Permanent"/>
    <n v="10"/>
  </r>
  <r>
    <n v="95"/>
    <s v="EMP-2095"/>
    <x v="90"/>
    <x v="4"/>
    <x v="2"/>
    <s v="Sales Executive"/>
    <n v="48000"/>
    <x v="3"/>
    <x v="2"/>
    <n v="3"/>
    <x v="1"/>
    <s v="Permanent"/>
    <n v="5"/>
  </r>
  <r>
    <n v="96"/>
    <s v="EMP-2096"/>
    <x v="91"/>
    <x v="6"/>
    <x v="0"/>
    <s v="Admin Manager"/>
    <n v="20000"/>
    <x v="3"/>
    <x v="2"/>
    <n v="15"/>
    <x v="0"/>
    <s v="Contractual"/>
    <n v="7"/>
  </r>
  <r>
    <n v="97"/>
    <s v="EMP-2097"/>
    <x v="33"/>
    <x v="4"/>
    <x v="4"/>
    <s v="Sales Executive"/>
    <n v="60000"/>
    <x v="3"/>
    <x v="2"/>
    <n v="1"/>
    <x v="1"/>
    <s v="Permanent"/>
    <n v="6"/>
  </r>
  <r>
    <n v="98"/>
    <s v="EMP-2098"/>
    <x v="92"/>
    <x v="4"/>
    <x v="1"/>
    <s v="Sr Sales Executive"/>
    <n v="50000"/>
    <x v="0"/>
    <x v="2"/>
    <n v="10"/>
    <x v="1"/>
    <s v="Permanent"/>
    <n v="4"/>
  </r>
  <r>
    <n v="99"/>
    <s v="EMP-2099"/>
    <x v="93"/>
    <x v="6"/>
    <x v="1"/>
    <s v="GM Admin"/>
    <n v="32000"/>
    <x v="2"/>
    <x v="2"/>
    <n v="6"/>
    <x v="0"/>
    <s v="Permanent"/>
    <n v="3"/>
  </r>
  <r>
    <n v="100"/>
    <s v="EMP-2100"/>
    <x v="94"/>
    <x v="0"/>
    <x v="0"/>
    <s v="Sr Marketing"/>
    <n v="97000"/>
    <x v="0"/>
    <x v="2"/>
    <n v="7"/>
    <x v="1"/>
    <s v="Permanent"/>
    <n v="3"/>
  </r>
  <r>
    <n v="101"/>
    <s v="EMP-2101"/>
    <x v="95"/>
    <x v="3"/>
    <x v="5"/>
    <s v="Sr Operations"/>
    <n v="18000"/>
    <x v="3"/>
    <x v="2"/>
    <n v="15"/>
    <x v="1"/>
    <s v="Permanent"/>
    <n v="10"/>
  </r>
  <r>
    <n v="102"/>
    <s v="EMP-2102"/>
    <x v="96"/>
    <x v="1"/>
    <x v="1"/>
    <s v="HR Executive"/>
    <n v="70000"/>
    <x v="0"/>
    <x v="2"/>
    <n v="6"/>
    <x v="1"/>
    <s v="Permanent"/>
    <n v="9"/>
  </r>
  <r>
    <n v="103"/>
    <s v="EMP-2103"/>
    <x v="97"/>
    <x v="5"/>
    <x v="0"/>
    <s v="Finance Manager"/>
    <n v="75000"/>
    <x v="0"/>
    <x v="2"/>
    <n v="0"/>
    <x v="1"/>
    <s v="Permanent"/>
    <n v="1"/>
  </r>
  <r>
    <n v="104"/>
    <s v="EMP-2104"/>
    <x v="98"/>
    <x v="0"/>
    <x v="1"/>
    <s v="CMO"/>
    <n v="43000"/>
    <x v="2"/>
    <x v="2"/>
    <n v="14"/>
    <x v="1"/>
    <s v="Permanent"/>
    <n v="12"/>
  </r>
  <r>
    <n v="105"/>
    <s v="EMP-2105"/>
    <x v="99"/>
    <x v="2"/>
    <x v="7"/>
    <s v="Support Manager"/>
    <n v="29000"/>
    <x v="1"/>
    <x v="2"/>
    <n v="17"/>
    <x v="0"/>
    <s v="Permanent"/>
    <n v="4"/>
  </r>
  <r>
    <n v="106"/>
    <s v="EMP-2106"/>
    <x v="100"/>
    <x v="5"/>
    <x v="7"/>
    <s v="CFO"/>
    <n v="41000"/>
    <x v="2"/>
    <x v="2"/>
    <n v="9"/>
    <x v="1"/>
    <s v="Contractual"/>
    <n v="0"/>
  </r>
  <r>
    <n v="107"/>
    <s v="EMP-2107"/>
    <x v="101"/>
    <x v="2"/>
    <x v="6"/>
    <s v="Sr Support"/>
    <n v="34000"/>
    <x v="1"/>
    <x v="2"/>
    <n v="11"/>
    <x v="0"/>
    <s v="Permanent"/>
    <n v="3"/>
  </r>
  <r>
    <n v="108"/>
    <s v="EMP-2108"/>
    <x v="102"/>
    <x v="5"/>
    <x v="6"/>
    <s v="Finance Manager"/>
    <n v="40000"/>
    <x v="3"/>
    <x v="2"/>
    <n v="11"/>
    <x v="0"/>
    <s v="Permanent"/>
    <n v="5"/>
  </r>
  <r>
    <n v="109"/>
    <s v="EMP-2109"/>
    <x v="103"/>
    <x v="5"/>
    <x v="3"/>
    <s v="Accounts Executive"/>
    <n v="27000"/>
    <x v="3"/>
    <x v="2"/>
    <n v="4"/>
    <x v="0"/>
    <s v="Permanent"/>
    <n v="2"/>
  </r>
  <r>
    <n v="110"/>
    <s v="EMP-2110"/>
    <x v="61"/>
    <x v="6"/>
    <x v="4"/>
    <s v="GM Admin"/>
    <n v="57000"/>
    <x v="3"/>
    <x v="2"/>
    <n v="2"/>
    <x v="1"/>
    <s v="Permanent"/>
    <n v="0"/>
  </r>
  <r>
    <n v="111"/>
    <s v="EMP-2111"/>
    <x v="104"/>
    <x v="1"/>
    <x v="4"/>
    <s v="Sr HR Executive"/>
    <n v="80000"/>
    <x v="3"/>
    <x v="2"/>
    <n v="18"/>
    <x v="0"/>
    <s v="Permanent"/>
    <n v="1"/>
  </r>
  <r>
    <n v="112"/>
    <s v="EMP-2112"/>
    <x v="105"/>
    <x v="5"/>
    <x v="4"/>
    <s v="Accounts Executive"/>
    <n v="48000"/>
    <x v="0"/>
    <x v="2"/>
    <n v="6"/>
    <x v="0"/>
    <s v="Permanent"/>
    <n v="5"/>
  </r>
  <r>
    <n v="113"/>
    <s v="EMP-2113"/>
    <x v="106"/>
    <x v="2"/>
    <x v="4"/>
    <s v="Sr Support"/>
    <n v="53000"/>
    <x v="4"/>
    <x v="2"/>
    <n v="1"/>
    <x v="1"/>
    <s v="Intern"/>
    <n v="2"/>
  </r>
  <r>
    <n v="114"/>
    <s v="EMP-2114"/>
    <x v="107"/>
    <x v="5"/>
    <x v="3"/>
    <s v="Accounts Executive"/>
    <n v="36000"/>
    <x v="3"/>
    <x v="2"/>
    <n v="18"/>
    <x v="0"/>
    <s v="Permanent"/>
    <n v="3"/>
  </r>
  <r>
    <n v="115"/>
    <s v="EMP-2115"/>
    <x v="108"/>
    <x v="7"/>
    <x v="4"/>
    <s v="Sr Developer"/>
    <n v="99000"/>
    <x v="2"/>
    <x v="2"/>
    <n v="14"/>
    <x v="0"/>
    <s v="Permanent"/>
    <n v="1"/>
  </r>
  <r>
    <n v="116"/>
    <s v="EMP-2116"/>
    <x v="109"/>
    <x v="4"/>
    <x v="4"/>
    <s v="Sales Executive"/>
    <n v="72000"/>
    <x v="2"/>
    <x v="2"/>
    <n v="3"/>
    <x v="0"/>
    <s v="Permanent"/>
    <n v="8"/>
  </r>
  <r>
    <n v="117"/>
    <s v="EMP-2117"/>
    <x v="6"/>
    <x v="6"/>
    <x v="5"/>
    <s v="Admin Executive"/>
    <n v="23000"/>
    <x v="2"/>
    <x v="2"/>
    <n v="4"/>
    <x v="1"/>
    <s v="Intern"/>
    <n v="2"/>
  </r>
  <r>
    <n v="118"/>
    <s v="EMP-2118"/>
    <x v="110"/>
    <x v="3"/>
    <x v="2"/>
    <s v="VP Operations"/>
    <n v="18000"/>
    <x v="2"/>
    <x v="2"/>
    <n v="0"/>
    <x v="0"/>
    <s v="Permanent"/>
    <n v="3"/>
  </r>
  <r>
    <n v="119"/>
    <s v="EMP-2119"/>
    <x v="111"/>
    <x v="5"/>
    <x v="2"/>
    <s v="Finance Manager"/>
    <n v="44000"/>
    <x v="2"/>
    <x v="2"/>
    <n v="8"/>
    <x v="0"/>
    <s v="Contractual"/>
    <n v="8"/>
  </r>
  <r>
    <n v="120"/>
    <s v="EMP-2120"/>
    <x v="112"/>
    <x v="3"/>
    <x v="2"/>
    <s v="VP Operations"/>
    <n v="48000"/>
    <x v="1"/>
    <x v="2"/>
    <n v="12"/>
    <x v="0"/>
    <s v="Intern"/>
    <n v="2"/>
  </r>
  <r>
    <n v="121"/>
    <s v="EMP-2121"/>
    <x v="113"/>
    <x v="6"/>
    <x v="3"/>
    <s v="GM Admin"/>
    <n v="48000"/>
    <x v="3"/>
    <x v="2"/>
    <n v="10"/>
    <x v="0"/>
    <s v="Permanent"/>
    <n v="9"/>
  </r>
  <r>
    <n v="122"/>
    <s v="EMP-2122"/>
    <x v="114"/>
    <x v="6"/>
    <x v="1"/>
    <s v="Admin Executive"/>
    <n v="47000"/>
    <x v="3"/>
    <x v="2"/>
    <n v="16"/>
    <x v="0"/>
    <s v="Permanent"/>
    <n v="3"/>
  </r>
  <r>
    <n v="123"/>
    <s v="EMP-2123"/>
    <x v="115"/>
    <x v="7"/>
    <x v="5"/>
    <s v="Sr Developer"/>
    <n v="90000"/>
    <x v="2"/>
    <x v="2"/>
    <n v="16"/>
    <x v="1"/>
    <s v="Intern"/>
    <n v="2"/>
  </r>
  <r>
    <n v="124"/>
    <s v="EMP-2124"/>
    <x v="116"/>
    <x v="3"/>
    <x v="1"/>
    <s v="Sr Operations"/>
    <n v="66000"/>
    <x v="3"/>
    <x v="2"/>
    <n v="11"/>
    <x v="1"/>
    <s v="Contractual"/>
    <n v="12"/>
  </r>
  <r>
    <n v="125"/>
    <s v="EMP-2125"/>
    <x v="117"/>
    <x v="6"/>
    <x v="6"/>
    <s v="GM Admin"/>
    <n v="49000"/>
    <x v="0"/>
    <x v="2"/>
    <n v="7"/>
    <x v="1"/>
    <s v="Intern"/>
    <n v="12"/>
  </r>
  <r>
    <n v="126"/>
    <s v="EMP-2126"/>
    <x v="118"/>
    <x v="5"/>
    <x v="5"/>
    <s v="Finance Manager"/>
    <n v="95000"/>
    <x v="3"/>
    <x v="2"/>
    <n v="8"/>
    <x v="1"/>
    <s v="Permanent"/>
    <n v="10"/>
  </r>
  <r>
    <n v="127"/>
    <s v="EMP-2127"/>
    <x v="30"/>
    <x v="4"/>
    <x v="6"/>
    <s v="VP Sales"/>
    <n v="46000"/>
    <x v="3"/>
    <x v="2"/>
    <n v="9"/>
    <x v="1"/>
    <s v="Permanent"/>
    <n v="5"/>
  </r>
  <r>
    <n v="128"/>
    <s v="EMP-2128"/>
    <x v="119"/>
    <x v="4"/>
    <x v="5"/>
    <s v="Sales Manager"/>
    <n v="54000"/>
    <x v="4"/>
    <x v="2"/>
    <n v="14"/>
    <x v="0"/>
    <s v="Permanent"/>
    <n v="0"/>
  </r>
  <r>
    <n v="129"/>
    <s v="EMP-2129"/>
    <x v="120"/>
    <x v="4"/>
    <x v="2"/>
    <s v="Sr Sales Executive"/>
    <n v="45000"/>
    <x v="3"/>
    <x v="2"/>
    <n v="15"/>
    <x v="1"/>
    <s v="Intern"/>
    <n v="11"/>
  </r>
  <r>
    <n v="130"/>
    <s v="EMP-2130"/>
    <x v="121"/>
    <x v="1"/>
    <x v="6"/>
    <s v="HR Head"/>
    <n v="77000"/>
    <x v="0"/>
    <x v="2"/>
    <n v="17"/>
    <x v="0"/>
    <s v="Permanent"/>
    <n v="0"/>
  </r>
  <r>
    <n v="131"/>
    <s v="EMP-2131"/>
    <x v="122"/>
    <x v="5"/>
    <x v="1"/>
    <s v="CFO"/>
    <n v="110000"/>
    <x v="1"/>
    <x v="2"/>
    <n v="18"/>
    <x v="1"/>
    <s v="Permanent"/>
    <n v="0"/>
  </r>
  <r>
    <n v="132"/>
    <s v="EMP-2132"/>
    <x v="123"/>
    <x v="4"/>
    <x v="6"/>
    <s v="Sr Sales Executive"/>
    <n v="25000"/>
    <x v="3"/>
    <x v="2"/>
    <n v="3"/>
    <x v="1"/>
    <s v="Permanent"/>
    <n v="5"/>
  </r>
  <r>
    <n v="133"/>
    <s v="EMP-2133"/>
    <x v="124"/>
    <x v="7"/>
    <x v="2"/>
    <s v="Sr Developer"/>
    <n v="87000"/>
    <x v="2"/>
    <x v="2"/>
    <n v="6"/>
    <x v="1"/>
    <s v="Intern"/>
    <n v="8"/>
  </r>
  <r>
    <n v="134"/>
    <s v="EMP-2134"/>
    <x v="125"/>
    <x v="7"/>
    <x v="5"/>
    <s v="Sr Developer"/>
    <n v="41000"/>
    <x v="2"/>
    <x v="3"/>
    <n v="7"/>
    <x v="1"/>
    <s v="Permanent"/>
    <n v="2"/>
  </r>
  <r>
    <n v="135"/>
    <s v="EMP-2135"/>
    <x v="126"/>
    <x v="5"/>
    <x v="5"/>
    <s v="Finance Manager"/>
    <n v="67000"/>
    <x v="0"/>
    <x v="3"/>
    <n v="6"/>
    <x v="1"/>
    <s v="Contractual"/>
    <n v="1"/>
  </r>
  <r>
    <n v="136"/>
    <s v="EMP-2136"/>
    <x v="56"/>
    <x v="1"/>
    <x v="5"/>
    <s v="Sr HR Executive"/>
    <n v="44000"/>
    <x v="3"/>
    <x v="3"/>
    <n v="2"/>
    <x v="1"/>
    <s v="Permanent"/>
    <n v="10"/>
  </r>
  <r>
    <n v="137"/>
    <s v="EMP-2137"/>
    <x v="22"/>
    <x v="3"/>
    <x v="6"/>
    <s v="Ops Manager"/>
    <n v="23000"/>
    <x v="4"/>
    <x v="3"/>
    <n v="16"/>
    <x v="1"/>
    <s v="Permanent"/>
    <n v="4"/>
  </r>
  <r>
    <n v="138"/>
    <s v="EMP-2138"/>
    <x v="127"/>
    <x v="6"/>
    <x v="2"/>
    <s v="Admin Executive"/>
    <n v="49000"/>
    <x v="2"/>
    <x v="3"/>
    <n v="7"/>
    <x v="0"/>
    <s v="Permanent"/>
    <n v="1"/>
  </r>
  <r>
    <n v="139"/>
    <s v="EMP-2139"/>
    <x v="128"/>
    <x v="1"/>
    <x v="1"/>
    <s v="HR Executive"/>
    <n v="29000"/>
    <x v="3"/>
    <x v="3"/>
    <n v="15"/>
    <x v="1"/>
    <s v="Permanent"/>
    <n v="6"/>
  </r>
  <r>
    <n v="140"/>
    <s v="EMP-2140"/>
    <x v="129"/>
    <x v="0"/>
    <x v="4"/>
    <s v="Marketing Manager"/>
    <n v="83000"/>
    <x v="2"/>
    <x v="3"/>
    <n v="18"/>
    <x v="0"/>
    <s v="Permanent"/>
    <n v="12"/>
  </r>
  <r>
    <n v="141"/>
    <s v="EMP-2141"/>
    <x v="130"/>
    <x v="4"/>
    <x v="6"/>
    <s v="Sales Executive"/>
    <n v="36000"/>
    <x v="2"/>
    <x v="3"/>
    <n v="1"/>
    <x v="1"/>
    <s v="Contractual"/>
    <n v="3"/>
  </r>
  <r>
    <n v="142"/>
    <s v="EMP-2142"/>
    <x v="131"/>
    <x v="7"/>
    <x v="6"/>
    <s v="Software Developer"/>
    <n v="49000"/>
    <x v="3"/>
    <x v="3"/>
    <n v="13"/>
    <x v="0"/>
    <s v="Intern"/>
    <n v="10"/>
  </r>
  <r>
    <n v="143"/>
    <s v="EMP-2143"/>
    <x v="132"/>
    <x v="4"/>
    <x v="0"/>
    <s v="Sales Executive"/>
    <n v="47000"/>
    <x v="0"/>
    <x v="3"/>
    <n v="2"/>
    <x v="0"/>
    <s v="Permanent"/>
    <n v="1"/>
  </r>
  <r>
    <n v="144"/>
    <s v="EMP-2144"/>
    <x v="133"/>
    <x v="1"/>
    <x v="3"/>
    <s v="Sr HR Executive"/>
    <n v="67000"/>
    <x v="0"/>
    <x v="3"/>
    <n v="5"/>
    <x v="1"/>
    <s v="Permanent"/>
    <n v="10"/>
  </r>
  <r>
    <n v="145"/>
    <s v="EMP-2145"/>
    <x v="134"/>
    <x v="2"/>
    <x v="1"/>
    <s v="Support Executive"/>
    <n v="61000"/>
    <x v="1"/>
    <x v="3"/>
    <n v="0"/>
    <x v="1"/>
    <s v="Permanent"/>
    <n v="10"/>
  </r>
  <r>
    <n v="146"/>
    <s v="EMP-2146"/>
    <x v="135"/>
    <x v="3"/>
    <x v="7"/>
    <s v="Sr Operations"/>
    <n v="30000"/>
    <x v="2"/>
    <x v="3"/>
    <n v="8"/>
    <x v="1"/>
    <s v="Permanent"/>
    <n v="4"/>
  </r>
  <r>
    <n v="147"/>
    <s v="EMP-2147"/>
    <x v="136"/>
    <x v="1"/>
    <x v="4"/>
    <s v="HR Head"/>
    <n v="34000"/>
    <x v="3"/>
    <x v="3"/>
    <n v="7"/>
    <x v="1"/>
    <s v="Permanent"/>
    <n v="7"/>
  </r>
  <r>
    <n v="148"/>
    <s v="EMP-2148"/>
    <x v="137"/>
    <x v="6"/>
    <x v="4"/>
    <s v="Admin Executive"/>
    <n v="44000"/>
    <x v="2"/>
    <x v="3"/>
    <n v="14"/>
    <x v="1"/>
    <s v="Intern"/>
    <n v="8"/>
  </r>
  <r>
    <n v="149"/>
    <s v="EMP-2149"/>
    <x v="138"/>
    <x v="4"/>
    <x v="2"/>
    <s v="Sales Manager"/>
    <n v="37000"/>
    <x v="3"/>
    <x v="3"/>
    <n v="9"/>
    <x v="0"/>
    <s v="Contractual"/>
    <n v="12"/>
  </r>
  <r>
    <n v="150"/>
    <s v="EMP-2150"/>
    <x v="88"/>
    <x v="1"/>
    <x v="5"/>
    <s v="HR Executive"/>
    <n v="68000"/>
    <x v="2"/>
    <x v="3"/>
    <n v="17"/>
    <x v="1"/>
    <s v="Intern"/>
    <n v="6"/>
  </r>
  <r>
    <n v="151"/>
    <s v="EMP-2151"/>
    <x v="139"/>
    <x v="4"/>
    <x v="0"/>
    <s v="Sales Executive"/>
    <n v="29000"/>
    <x v="1"/>
    <x v="3"/>
    <n v="1"/>
    <x v="0"/>
    <s v="Permanent"/>
    <n v="2"/>
  </r>
  <r>
    <n v="152"/>
    <s v="EMP-2152"/>
    <x v="140"/>
    <x v="7"/>
    <x v="2"/>
    <s v="Sr Developer"/>
    <n v="48000"/>
    <x v="3"/>
    <x v="3"/>
    <n v="7"/>
    <x v="1"/>
    <s v="Contractual"/>
    <n v="12"/>
  </r>
  <r>
    <n v="153"/>
    <s v="EMP-2153"/>
    <x v="141"/>
    <x v="5"/>
    <x v="5"/>
    <s v="CFO"/>
    <n v="92000"/>
    <x v="0"/>
    <x v="3"/>
    <n v="14"/>
    <x v="1"/>
    <s v="Permanent"/>
    <n v="4"/>
  </r>
  <r>
    <n v="154"/>
    <s v="EMP-2154"/>
    <x v="142"/>
    <x v="5"/>
    <x v="2"/>
    <s v="Accounts Executive"/>
    <n v="83000"/>
    <x v="3"/>
    <x v="3"/>
    <n v="5"/>
    <x v="0"/>
    <s v="Permanent"/>
    <n v="4"/>
  </r>
  <r>
    <n v="155"/>
    <s v="EMP-2155"/>
    <x v="143"/>
    <x v="7"/>
    <x v="0"/>
    <s v="Software Developer"/>
    <n v="77000"/>
    <x v="0"/>
    <x v="3"/>
    <n v="1"/>
    <x v="0"/>
    <s v="Permanent"/>
    <n v="10"/>
  </r>
  <r>
    <n v="156"/>
    <s v="EMP-2156"/>
    <x v="144"/>
    <x v="0"/>
    <x v="0"/>
    <s v="Marketing Executive"/>
    <n v="100000"/>
    <x v="2"/>
    <x v="3"/>
    <n v="18"/>
    <x v="1"/>
    <s v="Permanent"/>
    <n v="0"/>
  </r>
  <r>
    <n v="157"/>
    <s v="EMP-2157"/>
    <x v="145"/>
    <x v="5"/>
    <x v="6"/>
    <s v="Sr Accountant"/>
    <n v="71000"/>
    <x v="2"/>
    <x v="3"/>
    <n v="15"/>
    <x v="0"/>
    <s v="Permanent"/>
    <n v="11"/>
  </r>
  <r>
    <n v="158"/>
    <s v="EMP-2158"/>
    <x v="146"/>
    <x v="6"/>
    <x v="7"/>
    <s v="Admin Manager"/>
    <n v="25000"/>
    <x v="3"/>
    <x v="3"/>
    <n v="7"/>
    <x v="0"/>
    <s v="Permanent"/>
    <n v="12"/>
  </r>
  <r>
    <n v="159"/>
    <s v="EMP-2159"/>
    <x v="147"/>
    <x v="2"/>
    <x v="3"/>
    <s v="Head Support"/>
    <n v="33000"/>
    <x v="3"/>
    <x v="3"/>
    <n v="0"/>
    <x v="0"/>
    <s v="Permanent"/>
    <n v="11"/>
  </r>
  <r>
    <n v="160"/>
    <s v="EMP-2160"/>
    <x v="72"/>
    <x v="7"/>
    <x v="2"/>
    <s v="IT Manager"/>
    <n v="88000"/>
    <x v="0"/>
    <x v="3"/>
    <n v="18"/>
    <x v="0"/>
    <s v="Intern"/>
    <n v="12"/>
  </r>
  <r>
    <n v="161"/>
    <s v="EMP-2161"/>
    <x v="148"/>
    <x v="3"/>
    <x v="6"/>
    <s v="Operations Executive"/>
    <n v="28000"/>
    <x v="0"/>
    <x v="3"/>
    <n v="11"/>
    <x v="1"/>
    <s v="Contractual"/>
    <n v="1"/>
  </r>
  <r>
    <n v="162"/>
    <s v="EMP-2162"/>
    <x v="99"/>
    <x v="0"/>
    <x v="3"/>
    <s v="Marketing Manager"/>
    <n v="34000"/>
    <x v="2"/>
    <x v="3"/>
    <n v="9"/>
    <x v="1"/>
    <s v="Permanent"/>
    <n v="4"/>
  </r>
  <r>
    <n v="163"/>
    <s v="EMP-2163"/>
    <x v="149"/>
    <x v="3"/>
    <x v="3"/>
    <s v="Ops Manager"/>
    <n v="51000"/>
    <x v="0"/>
    <x v="3"/>
    <n v="17"/>
    <x v="1"/>
    <s v="Intern"/>
    <n v="12"/>
  </r>
  <r>
    <n v="164"/>
    <s v="EMP-2164"/>
    <x v="81"/>
    <x v="6"/>
    <x v="7"/>
    <s v="Sr Admin"/>
    <n v="21000"/>
    <x v="3"/>
    <x v="3"/>
    <n v="15"/>
    <x v="0"/>
    <s v="Permanent"/>
    <n v="11"/>
  </r>
  <r>
    <n v="165"/>
    <s v="EMP-2165"/>
    <x v="150"/>
    <x v="2"/>
    <x v="3"/>
    <s v="Head Support"/>
    <n v="21000"/>
    <x v="3"/>
    <x v="3"/>
    <n v="17"/>
    <x v="1"/>
    <s v="Intern"/>
    <n v="11"/>
  </r>
  <r>
    <n v="166"/>
    <s v="EMP-2166"/>
    <x v="151"/>
    <x v="7"/>
    <x v="6"/>
    <s v="Sr Developer"/>
    <n v="141000"/>
    <x v="0"/>
    <x v="3"/>
    <n v="0"/>
    <x v="0"/>
    <s v="Permanent"/>
    <n v="10"/>
  </r>
  <r>
    <n v="167"/>
    <s v="EMP-2167"/>
    <x v="107"/>
    <x v="3"/>
    <x v="2"/>
    <s v="Sr Operations"/>
    <n v="70000"/>
    <x v="0"/>
    <x v="3"/>
    <n v="16"/>
    <x v="0"/>
    <s v="Intern"/>
    <n v="6"/>
  </r>
  <r>
    <n v="168"/>
    <s v="EMP-2168"/>
    <x v="152"/>
    <x v="3"/>
    <x v="0"/>
    <s v="Ops Manager"/>
    <n v="18000"/>
    <x v="2"/>
    <x v="3"/>
    <n v="6"/>
    <x v="1"/>
    <s v="Permanent"/>
    <n v="12"/>
  </r>
  <r>
    <n v="169"/>
    <s v="EMP-2169"/>
    <x v="153"/>
    <x v="5"/>
    <x v="4"/>
    <s v="CFO"/>
    <n v="100000"/>
    <x v="2"/>
    <x v="3"/>
    <n v="1"/>
    <x v="0"/>
    <s v="Contractual"/>
    <n v="6"/>
  </r>
  <r>
    <n v="170"/>
    <s v="EMP-2170"/>
    <x v="154"/>
    <x v="6"/>
    <x v="3"/>
    <s v="Sr Admin"/>
    <n v="32000"/>
    <x v="2"/>
    <x v="3"/>
    <n v="12"/>
    <x v="1"/>
    <s v="Intern"/>
    <n v="6"/>
  </r>
  <r>
    <n v="171"/>
    <s v="EMP-2171"/>
    <x v="155"/>
    <x v="5"/>
    <x v="1"/>
    <s v="Sr Accountant"/>
    <n v="93000"/>
    <x v="0"/>
    <x v="3"/>
    <n v="14"/>
    <x v="0"/>
    <s v="Permanent"/>
    <n v="11"/>
  </r>
  <r>
    <n v="172"/>
    <s v="EMP-2172"/>
    <x v="39"/>
    <x v="5"/>
    <x v="2"/>
    <s v="CFO"/>
    <n v="55000"/>
    <x v="0"/>
    <x v="3"/>
    <n v="15"/>
    <x v="0"/>
    <s v="Contractual"/>
    <n v="10"/>
  </r>
  <r>
    <n v="173"/>
    <s v="EMP-2173"/>
    <x v="156"/>
    <x v="6"/>
    <x v="6"/>
    <s v="Admin Manager"/>
    <n v="48000"/>
    <x v="3"/>
    <x v="3"/>
    <n v="9"/>
    <x v="1"/>
    <s v="Contractual"/>
    <n v="9"/>
  </r>
  <r>
    <n v="174"/>
    <s v="EMP-2174"/>
    <x v="157"/>
    <x v="6"/>
    <x v="6"/>
    <s v="Admin Executive"/>
    <n v="21000"/>
    <x v="0"/>
    <x v="3"/>
    <n v="5"/>
    <x v="1"/>
    <s v="Permanent"/>
    <n v="12"/>
  </r>
  <r>
    <n v="175"/>
    <s v="EMP-2175"/>
    <x v="158"/>
    <x v="5"/>
    <x v="7"/>
    <s v="Accounts Executive"/>
    <n v="89000"/>
    <x v="3"/>
    <x v="3"/>
    <n v="14"/>
    <x v="1"/>
    <s v="Permanent"/>
    <n v="3"/>
  </r>
  <r>
    <n v="176"/>
    <s v="EMP-2176"/>
    <x v="159"/>
    <x v="2"/>
    <x v="1"/>
    <s v="Head Support"/>
    <n v="60000"/>
    <x v="0"/>
    <x v="4"/>
    <n v="16"/>
    <x v="1"/>
    <s v="Permanent"/>
    <n v="2"/>
  </r>
  <r>
    <n v="177"/>
    <s v="EMP-2177"/>
    <x v="160"/>
    <x v="4"/>
    <x v="2"/>
    <s v="VP Sales"/>
    <n v="45000"/>
    <x v="1"/>
    <x v="4"/>
    <n v="7"/>
    <x v="0"/>
    <s v="Permanent"/>
    <n v="8"/>
  </r>
  <r>
    <n v="178"/>
    <s v="EMP-2178"/>
    <x v="161"/>
    <x v="2"/>
    <x v="0"/>
    <s v="Support Manager"/>
    <n v="43000"/>
    <x v="0"/>
    <x v="4"/>
    <n v="1"/>
    <x v="1"/>
    <s v="Permanent"/>
    <n v="11"/>
  </r>
  <r>
    <n v="179"/>
    <s v="EMP-2179"/>
    <x v="162"/>
    <x v="5"/>
    <x v="2"/>
    <s v="Finance Manager"/>
    <n v="94000"/>
    <x v="2"/>
    <x v="4"/>
    <n v="8"/>
    <x v="1"/>
    <s v="Permanent"/>
    <n v="9"/>
  </r>
  <r>
    <n v="180"/>
    <s v="EMP-2180"/>
    <x v="163"/>
    <x v="7"/>
    <x v="6"/>
    <s v="IT Manager"/>
    <n v="35000"/>
    <x v="1"/>
    <x v="4"/>
    <n v="6"/>
    <x v="1"/>
    <s v="Permanent"/>
    <n v="8"/>
  </r>
  <r>
    <n v="181"/>
    <s v="EMP-2181"/>
    <x v="164"/>
    <x v="1"/>
    <x v="2"/>
    <s v="Sr HR Executive"/>
    <n v="58000"/>
    <x v="3"/>
    <x v="4"/>
    <n v="9"/>
    <x v="0"/>
    <s v="Permanent"/>
    <n v="2"/>
  </r>
  <r>
    <n v="182"/>
    <s v="EMP-2182"/>
    <x v="165"/>
    <x v="4"/>
    <x v="1"/>
    <s v="Sales Executive"/>
    <n v="70000"/>
    <x v="0"/>
    <x v="4"/>
    <n v="5"/>
    <x v="1"/>
    <s v="Contractual"/>
    <n v="10"/>
  </r>
  <r>
    <n v="183"/>
    <s v="EMP-2183"/>
    <x v="166"/>
    <x v="5"/>
    <x v="4"/>
    <s v="Sr Accountant"/>
    <n v="35000"/>
    <x v="3"/>
    <x v="4"/>
    <n v="3"/>
    <x v="0"/>
    <s v="Intern"/>
    <n v="1"/>
  </r>
  <r>
    <n v="184"/>
    <s v="EMP-2184"/>
    <x v="167"/>
    <x v="5"/>
    <x v="2"/>
    <s v="Sr Accountant"/>
    <n v="78000"/>
    <x v="3"/>
    <x v="4"/>
    <n v="7"/>
    <x v="1"/>
    <s v="Contractual"/>
    <n v="1"/>
  </r>
  <r>
    <n v="185"/>
    <s v="EMP-2185"/>
    <x v="168"/>
    <x v="7"/>
    <x v="4"/>
    <s v="Sr Developer"/>
    <n v="62000"/>
    <x v="3"/>
    <x v="4"/>
    <n v="15"/>
    <x v="1"/>
    <s v="Permanent"/>
    <n v="2"/>
  </r>
  <r>
    <n v="186"/>
    <s v="EMP-2186"/>
    <x v="169"/>
    <x v="3"/>
    <x v="7"/>
    <s v="Operations Executive"/>
    <n v="51000"/>
    <x v="3"/>
    <x v="4"/>
    <n v="10"/>
    <x v="0"/>
    <s v="Contractual"/>
    <n v="3"/>
  </r>
  <r>
    <n v="187"/>
    <s v="EMP-2187"/>
    <x v="170"/>
    <x v="5"/>
    <x v="2"/>
    <s v="CFO"/>
    <n v="61000"/>
    <x v="2"/>
    <x v="4"/>
    <n v="9"/>
    <x v="1"/>
    <s v="Intern"/>
    <n v="8"/>
  </r>
  <r>
    <n v="188"/>
    <s v="EMP-2188"/>
    <x v="171"/>
    <x v="2"/>
    <x v="0"/>
    <s v="Support Manager"/>
    <n v="41000"/>
    <x v="3"/>
    <x v="4"/>
    <n v="18"/>
    <x v="0"/>
    <s v="Permanent"/>
    <n v="8"/>
  </r>
  <r>
    <n v="189"/>
    <s v="EMP-2189"/>
    <x v="172"/>
    <x v="6"/>
    <x v="4"/>
    <s v="Admin Executive"/>
    <n v="59000"/>
    <x v="3"/>
    <x v="4"/>
    <n v="15"/>
    <x v="0"/>
    <s v="Permanent"/>
    <n v="1"/>
  </r>
  <r>
    <n v="190"/>
    <s v="EMP-2190"/>
    <x v="66"/>
    <x v="2"/>
    <x v="6"/>
    <s v="Sr Support"/>
    <n v="35000"/>
    <x v="0"/>
    <x v="4"/>
    <n v="12"/>
    <x v="1"/>
    <s v="Permanent"/>
    <n v="9"/>
  </r>
  <r>
    <n v="191"/>
    <s v="EMP-2191"/>
    <x v="153"/>
    <x v="2"/>
    <x v="2"/>
    <s v="Head Support"/>
    <n v="64000"/>
    <x v="0"/>
    <x v="4"/>
    <n v="16"/>
    <x v="0"/>
    <s v="Permanent"/>
    <n v="3"/>
  </r>
  <r>
    <n v="192"/>
    <s v="EMP-2192"/>
    <x v="173"/>
    <x v="5"/>
    <x v="5"/>
    <s v="Accounts Executive"/>
    <n v="30000"/>
    <x v="2"/>
    <x v="4"/>
    <n v="2"/>
    <x v="0"/>
    <s v="Permanent"/>
    <n v="2"/>
  </r>
  <r>
    <n v="193"/>
    <s v="EMP-2193"/>
    <x v="174"/>
    <x v="1"/>
    <x v="6"/>
    <s v="HR Executive"/>
    <n v="45000"/>
    <x v="3"/>
    <x v="4"/>
    <n v="4"/>
    <x v="1"/>
    <s v="Permanent"/>
    <n v="12"/>
  </r>
  <r>
    <n v="194"/>
    <s v="EMP-2194"/>
    <x v="175"/>
    <x v="7"/>
    <x v="0"/>
    <s v="Sr Developer"/>
    <n v="62000"/>
    <x v="0"/>
    <x v="4"/>
    <n v="3"/>
    <x v="1"/>
    <s v="Permanent"/>
    <n v="12"/>
  </r>
  <r>
    <n v="195"/>
    <s v="EMP-2195"/>
    <x v="6"/>
    <x v="4"/>
    <x v="0"/>
    <s v="Sales Manager"/>
    <n v="26000"/>
    <x v="3"/>
    <x v="4"/>
    <n v="9"/>
    <x v="1"/>
    <s v="Permanent"/>
    <n v="8"/>
  </r>
  <r>
    <n v="196"/>
    <s v="EMP-2196"/>
    <x v="176"/>
    <x v="5"/>
    <x v="1"/>
    <s v="Accounts Executive"/>
    <n v="93000"/>
    <x v="3"/>
    <x v="4"/>
    <n v="9"/>
    <x v="1"/>
    <s v="Permanent"/>
    <n v="2"/>
  </r>
  <r>
    <n v="197"/>
    <s v="EMP-2197"/>
    <x v="177"/>
    <x v="5"/>
    <x v="7"/>
    <s v="Finance Manager"/>
    <n v="28000"/>
    <x v="3"/>
    <x v="4"/>
    <n v="0"/>
    <x v="0"/>
    <s v="Permanent"/>
    <n v="3"/>
  </r>
  <r>
    <n v="198"/>
    <s v="EMP-2198"/>
    <x v="57"/>
    <x v="2"/>
    <x v="7"/>
    <s v="Sr Support"/>
    <n v="49000"/>
    <x v="0"/>
    <x v="4"/>
    <n v="16"/>
    <x v="0"/>
    <s v="Contractual"/>
    <n v="2"/>
  </r>
  <r>
    <n v="199"/>
    <s v="EMP-2199"/>
    <x v="178"/>
    <x v="2"/>
    <x v="4"/>
    <s v="Head Support"/>
    <n v="50000"/>
    <x v="3"/>
    <x v="4"/>
    <n v="9"/>
    <x v="1"/>
    <s v="Permanent"/>
    <n v="9"/>
  </r>
  <r>
    <n v="200"/>
    <s v="EMP-2200"/>
    <x v="179"/>
    <x v="2"/>
    <x v="3"/>
    <s v="Support Executive"/>
    <n v="26000"/>
    <x v="2"/>
    <x v="4"/>
    <n v="13"/>
    <x v="0"/>
    <s v="Permanent"/>
    <n v="0"/>
  </r>
  <r>
    <n v="201"/>
    <s v="EMP-2201"/>
    <x v="76"/>
    <x v="4"/>
    <x v="5"/>
    <s v="Sr Sales Executive"/>
    <n v="67000"/>
    <x v="0"/>
    <x v="4"/>
    <n v="11"/>
    <x v="1"/>
    <s v="Permanent"/>
    <n v="4"/>
  </r>
  <r>
    <n v="202"/>
    <s v="EMP-2202"/>
    <x v="180"/>
    <x v="7"/>
    <x v="0"/>
    <s v="Sr Developer"/>
    <n v="35000"/>
    <x v="1"/>
    <x v="4"/>
    <n v="9"/>
    <x v="0"/>
    <s v="Permanent"/>
    <n v="11"/>
  </r>
  <r>
    <n v="203"/>
    <s v="EMP-2203"/>
    <x v="181"/>
    <x v="0"/>
    <x v="7"/>
    <s v="Marketing Manager"/>
    <n v="91000"/>
    <x v="0"/>
    <x v="4"/>
    <n v="5"/>
    <x v="0"/>
    <s v="Permanent"/>
    <n v="12"/>
  </r>
  <r>
    <n v="204"/>
    <s v="EMP-2204"/>
    <x v="170"/>
    <x v="6"/>
    <x v="3"/>
    <s v="Admin Manager"/>
    <n v="26000"/>
    <x v="3"/>
    <x v="4"/>
    <n v="18"/>
    <x v="1"/>
    <s v="Permanent"/>
    <n v="1"/>
  </r>
  <r>
    <n v="205"/>
    <s v="EMP-2205"/>
    <x v="182"/>
    <x v="3"/>
    <x v="5"/>
    <s v="Operations Executive"/>
    <n v="22000"/>
    <x v="3"/>
    <x v="4"/>
    <n v="15"/>
    <x v="0"/>
    <s v="Permanent"/>
    <n v="10"/>
  </r>
  <r>
    <n v="206"/>
    <s v="EMP-2206"/>
    <x v="183"/>
    <x v="0"/>
    <x v="4"/>
    <s v="Marketing Manager"/>
    <n v="88000"/>
    <x v="3"/>
    <x v="4"/>
    <n v="4"/>
    <x v="0"/>
    <s v="Permanent"/>
    <n v="11"/>
  </r>
  <r>
    <n v="207"/>
    <s v="EMP-2207"/>
    <x v="184"/>
    <x v="1"/>
    <x v="3"/>
    <s v="HR Manager"/>
    <n v="78000"/>
    <x v="3"/>
    <x v="4"/>
    <n v="0"/>
    <x v="0"/>
    <s v="Permanent"/>
    <n v="6"/>
  </r>
  <r>
    <n v="208"/>
    <s v="EMP-2208"/>
    <x v="95"/>
    <x v="7"/>
    <x v="4"/>
    <s v="IT Manager"/>
    <n v="75000"/>
    <x v="4"/>
    <x v="4"/>
    <n v="8"/>
    <x v="1"/>
    <s v="Permanent"/>
    <n v="0"/>
  </r>
  <r>
    <n v="209"/>
    <s v="EMP-2209"/>
    <x v="185"/>
    <x v="3"/>
    <x v="7"/>
    <s v="Operations Executive"/>
    <n v="69000"/>
    <x v="0"/>
    <x v="4"/>
    <n v="15"/>
    <x v="1"/>
    <s v="Permanent"/>
    <n v="10"/>
  </r>
  <r>
    <n v="210"/>
    <s v="EMP-2210"/>
    <x v="186"/>
    <x v="6"/>
    <x v="3"/>
    <s v="GM Admin"/>
    <n v="16000"/>
    <x v="0"/>
    <x v="4"/>
    <n v="1"/>
    <x v="1"/>
    <s v="Contractual"/>
    <n v="0"/>
  </r>
  <r>
    <n v="211"/>
    <s v="EMP-2211"/>
    <x v="187"/>
    <x v="2"/>
    <x v="6"/>
    <s v="Sr Support"/>
    <n v="55000"/>
    <x v="0"/>
    <x v="4"/>
    <n v="7"/>
    <x v="0"/>
    <s v="Permanent"/>
    <n v="12"/>
  </r>
  <r>
    <n v="212"/>
    <s v="EMP-2212"/>
    <x v="188"/>
    <x v="1"/>
    <x v="5"/>
    <s v="HR Head"/>
    <n v="33000"/>
    <x v="0"/>
    <x v="4"/>
    <n v="9"/>
    <x v="1"/>
    <s v="Permanent"/>
    <n v="2"/>
  </r>
  <r>
    <n v="213"/>
    <s v="EMP-2213"/>
    <x v="75"/>
    <x v="5"/>
    <x v="3"/>
    <s v="Finance Manager"/>
    <n v="101000"/>
    <x v="2"/>
    <x v="4"/>
    <n v="1"/>
    <x v="0"/>
    <s v="Permanent"/>
    <n v="8"/>
  </r>
  <r>
    <n v="214"/>
    <s v="EMP-2214"/>
    <x v="189"/>
    <x v="2"/>
    <x v="6"/>
    <s v="Support Manager"/>
    <n v="59000"/>
    <x v="0"/>
    <x v="4"/>
    <n v="11"/>
    <x v="1"/>
    <s v="Permanent"/>
    <n v="0"/>
  </r>
  <r>
    <n v="215"/>
    <s v="EMP-2215"/>
    <x v="190"/>
    <x v="6"/>
    <x v="6"/>
    <s v="Sr Admin"/>
    <n v="43000"/>
    <x v="2"/>
    <x v="4"/>
    <n v="14"/>
    <x v="1"/>
    <s v="Permanent"/>
    <n v="5"/>
  </r>
  <r>
    <n v="216"/>
    <s v="EMP-2216"/>
    <x v="119"/>
    <x v="0"/>
    <x v="3"/>
    <s v="Marketing Manager"/>
    <n v="62000"/>
    <x v="2"/>
    <x v="4"/>
    <n v="17"/>
    <x v="0"/>
    <s v="Intern"/>
    <n v="4"/>
  </r>
  <r>
    <n v="217"/>
    <s v="EMP-2217"/>
    <x v="14"/>
    <x v="0"/>
    <x v="2"/>
    <s v="Marketing Manager"/>
    <n v="49000"/>
    <x v="2"/>
    <x v="4"/>
    <n v="4"/>
    <x v="0"/>
    <s v="Intern"/>
    <n v="5"/>
  </r>
  <r>
    <n v="218"/>
    <s v="EMP-2218"/>
    <x v="191"/>
    <x v="7"/>
    <x v="3"/>
    <s v="IT Manager"/>
    <n v="71000"/>
    <x v="2"/>
    <x v="4"/>
    <n v="17"/>
    <x v="0"/>
    <s v="Permanent"/>
    <n v="4"/>
  </r>
  <r>
    <n v="219"/>
    <s v="EMP-2219"/>
    <x v="192"/>
    <x v="7"/>
    <x v="2"/>
    <s v="Software Developer"/>
    <n v="131000"/>
    <x v="2"/>
    <x v="4"/>
    <n v="18"/>
    <x v="0"/>
    <s v="Contractual"/>
    <n v="5"/>
  </r>
  <r>
    <n v="220"/>
    <s v="EMP-2220"/>
    <x v="193"/>
    <x v="3"/>
    <x v="1"/>
    <s v="Ops Manager"/>
    <n v="41000"/>
    <x v="3"/>
    <x v="4"/>
    <n v="0"/>
    <x v="0"/>
    <s v="Permanent"/>
    <n v="3"/>
  </r>
  <r>
    <n v="221"/>
    <s v="EMP-2221"/>
    <x v="194"/>
    <x v="5"/>
    <x v="1"/>
    <s v="Sr Accountant"/>
    <n v="39000"/>
    <x v="1"/>
    <x v="5"/>
    <n v="17"/>
    <x v="1"/>
    <s v="Intern"/>
    <n v="9"/>
  </r>
  <r>
    <n v="222"/>
    <s v="EMP-2222"/>
    <x v="195"/>
    <x v="6"/>
    <x v="4"/>
    <s v="Admin Executive"/>
    <n v="39000"/>
    <x v="3"/>
    <x v="5"/>
    <n v="9"/>
    <x v="1"/>
    <s v="Permanent"/>
    <n v="1"/>
  </r>
  <r>
    <n v="223"/>
    <s v="EMP-2223"/>
    <x v="87"/>
    <x v="3"/>
    <x v="3"/>
    <s v="Operations Executive"/>
    <n v="64000"/>
    <x v="2"/>
    <x v="5"/>
    <n v="10"/>
    <x v="1"/>
    <s v="Permanent"/>
    <n v="4"/>
  </r>
  <r>
    <n v="224"/>
    <s v="EMP-2224"/>
    <x v="196"/>
    <x v="6"/>
    <x v="2"/>
    <s v="Sr Admin"/>
    <n v="24000"/>
    <x v="0"/>
    <x v="5"/>
    <n v="18"/>
    <x v="1"/>
    <s v="Permanent"/>
    <n v="9"/>
  </r>
  <r>
    <n v="225"/>
    <s v="EMP-2225"/>
    <x v="197"/>
    <x v="1"/>
    <x v="5"/>
    <s v="HR Head"/>
    <n v="75000"/>
    <x v="3"/>
    <x v="5"/>
    <n v="17"/>
    <x v="1"/>
    <s v="Permanent"/>
    <n v="1"/>
  </r>
  <r>
    <n v="226"/>
    <s v="EMP-2226"/>
    <x v="161"/>
    <x v="6"/>
    <x v="4"/>
    <s v="Admin Manager"/>
    <n v="49000"/>
    <x v="2"/>
    <x v="5"/>
    <n v="17"/>
    <x v="0"/>
    <s v="Permanent"/>
    <n v="10"/>
  </r>
  <r>
    <n v="227"/>
    <s v="EMP-2227"/>
    <x v="198"/>
    <x v="5"/>
    <x v="6"/>
    <s v="CFO"/>
    <n v="36000"/>
    <x v="3"/>
    <x v="5"/>
    <n v="5"/>
    <x v="0"/>
    <s v="Permanent"/>
    <n v="12"/>
  </r>
  <r>
    <n v="228"/>
    <s v="EMP-2228"/>
    <x v="199"/>
    <x v="0"/>
    <x v="2"/>
    <s v="CMO"/>
    <n v="100000"/>
    <x v="3"/>
    <x v="5"/>
    <n v="0"/>
    <x v="1"/>
    <s v="Permanent"/>
    <n v="7"/>
  </r>
  <r>
    <n v="229"/>
    <s v="EMP-2229"/>
    <x v="200"/>
    <x v="4"/>
    <x v="0"/>
    <s v="VP Sales"/>
    <n v="82000"/>
    <x v="0"/>
    <x v="5"/>
    <n v="11"/>
    <x v="1"/>
    <s v="Contractual"/>
    <n v="12"/>
  </r>
  <r>
    <n v="230"/>
    <s v="EMP-2230"/>
    <x v="185"/>
    <x v="6"/>
    <x v="6"/>
    <s v="GM Admin"/>
    <n v="41000"/>
    <x v="2"/>
    <x v="5"/>
    <n v="12"/>
    <x v="0"/>
    <s v="Permanent"/>
    <n v="8"/>
  </r>
  <r>
    <n v="231"/>
    <s v="EMP-2231"/>
    <x v="201"/>
    <x v="2"/>
    <x v="5"/>
    <s v="Support Manager"/>
    <n v="58000"/>
    <x v="2"/>
    <x v="5"/>
    <n v="18"/>
    <x v="1"/>
    <s v="Permanent"/>
    <n v="2"/>
  </r>
  <r>
    <n v="232"/>
    <s v="EMP-2232"/>
    <x v="202"/>
    <x v="1"/>
    <x v="1"/>
    <s v="HR Manager"/>
    <n v="48000"/>
    <x v="0"/>
    <x v="5"/>
    <n v="3"/>
    <x v="0"/>
    <s v="Permanent"/>
    <n v="0"/>
  </r>
  <r>
    <n v="233"/>
    <s v="EMP-2233"/>
    <x v="203"/>
    <x v="3"/>
    <x v="3"/>
    <s v="Sr Operations"/>
    <n v="30000"/>
    <x v="1"/>
    <x v="5"/>
    <n v="14"/>
    <x v="1"/>
    <s v="Contractual"/>
    <n v="11"/>
  </r>
  <r>
    <n v="234"/>
    <s v="EMP-2234"/>
    <x v="204"/>
    <x v="3"/>
    <x v="6"/>
    <s v="Ops Manager"/>
    <n v="19000"/>
    <x v="3"/>
    <x v="5"/>
    <n v="13"/>
    <x v="0"/>
    <s v="Permanent"/>
    <n v="10"/>
  </r>
  <r>
    <n v="235"/>
    <s v="EMP-2235"/>
    <x v="85"/>
    <x v="3"/>
    <x v="5"/>
    <s v="VP Operations"/>
    <n v="28000"/>
    <x v="3"/>
    <x v="5"/>
    <n v="11"/>
    <x v="0"/>
    <s v="Permanent"/>
    <n v="6"/>
  </r>
  <r>
    <n v="236"/>
    <s v="EMP-2236"/>
    <x v="205"/>
    <x v="0"/>
    <x v="1"/>
    <s v="Marketing Executive"/>
    <n v="53000"/>
    <x v="0"/>
    <x v="5"/>
    <n v="9"/>
    <x v="0"/>
    <s v="Permanent"/>
    <n v="10"/>
  </r>
  <r>
    <n v="237"/>
    <s v="EMP-2237"/>
    <x v="206"/>
    <x v="7"/>
    <x v="0"/>
    <s v="Software Developer"/>
    <n v="35000"/>
    <x v="2"/>
    <x v="5"/>
    <n v="5"/>
    <x v="0"/>
    <s v="Permanent"/>
    <n v="5"/>
  </r>
  <r>
    <n v="238"/>
    <s v="EMP-2238"/>
    <x v="207"/>
    <x v="7"/>
    <x v="7"/>
    <s v="IT Manager"/>
    <n v="122000"/>
    <x v="0"/>
    <x v="5"/>
    <n v="7"/>
    <x v="0"/>
    <s v="Permanent"/>
    <n v="3"/>
  </r>
  <r>
    <n v="239"/>
    <s v="EMP-2239"/>
    <x v="208"/>
    <x v="4"/>
    <x v="0"/>
    <s v="Sales Manager"/>
    <n v="52000"/>
    <x v="3"/>
    <x v="5"/>
    <n v="12"/>
    <x v="0"/>
    <s v="Contractual"/>
    <n v="2"/>
  </r>
  <r>
    <n v="240"/>
    <s v="EMP-2240"/>
    <x v="209"/>
    <x v="6"/>
    <x v="1"/>
    <s v="Admin Manager"/>
    <n v="26000"/>
    <x v="3"/>
    <x v="5"/>
    <n v="12"/>
    <x v="1"/>
    <s v="Contractual"/>
    <n v="12"/>
  </r>
  <r>
    <n v="241"/>
    <s v="EMP-2241"/>
    <x v="210"/>
    <x v="7"/>
    <x v="2"/>
    <s v="IT Manager"/>
    <n v="49000"/>
    <x v="1"/>
    <x v="5"/>
    <n v="3"/>
    <x v="1"/>
    <s v="Permanent"/>
    <n v="2"/>
  </r>
  <r>
    <n v="242"/>
    <s v="EMP-2242"/>
    <x v="211"/>
    <x v="1"/>
    <x v="4"/>
    <s v="HR Executive"/>
    <n v="42000"/>
    <x v="0"/>
    <x v="5"/>
    <n v="0"/>
    <x v="0"/>
    <s v="Permanent"/>
    <n v="3"/>
  </r>
  <r>
    <n v="243"/>
    <s v="EMP-2243"/>
    <x v="212"/>
    <x v="3"/>
    <x v="0"/>
    <s v="Operations Executive"/>
    <n v="34000"/>
    <x v="3"/>
    <x v="5"/>
    <n v="16"/>
    <x v="0"/>
    <s v="Permanent"/>
    <n v="10"/>
  </r>
  <r>
    <n v="244"/>
    <s v="EMP-2244"/>
    <x v="213"/>
    <x v="6"/>
    <x v="0"/>
    <s v="Admin Executive"/>
    <n v="17000"/>
    <x v="2"/>
    <x v="5"/>
    <n v="14"/>
    <x v="0"/>
    <s v="Permanent"/>
    <n v="2"/>
  </r>
  <r>
    <n v="245"/>
    <s v="EMP-2245"/>
    <x v="214"/>
    <x v="7"/>
    <x v="3"/>
    <s v="IT Manager"/>
    <n v="133000"/>
    <x v="3"/>
    <x v="5"/>
    <n v="17"/>
    <x v="0"/>
    <s v="Permanent"/>
    <n v="8"/>
  </r>
  <r>
    <n v="246"/>
    <s v="EMP-2246"/>
    <x v="45"/>
    <x v="1"/>
    <x v="4"/>
    <s v="Sr HR Executive"/>
    <n v="53000"/>
    <x v="3"/>
    <x v="5"/>
    <n v="18"/>
    <x v="0"/>
    <s v="Permanent"/>
    <n v="1"/>
  </r>
  <r>
    <n v="247"/>
    <s v="EMP-2247"/>
    <x v="215"/>
    <x v="2"/>
    <x v="5"/>
    <s v="Sr Support"/>
    <n v="45000"/>
    <x v="3"/>
    <x v="5"/>
    <n v="6"/>
    <x v="0"/>
    <s v="Permanent"/>
    <n v="1"/>
  </r>
  <r>
    <n v="248"/>
    <s v="EMP-2248"/>
    <x v="216"/>
    <x v="2"/>
    <x v="3"/>
    <s v="Support Executive"/>
    <n v="47000"/>
    <x v="3"/>
    <x v="5"/>
    <n v="8"/>
    <x v="1"/>
    <s v="Permanent"/>
    <n v="4"/>
  </r>
  <r>
    <n v="249"/>
    <s v="EMP-2249"/>
    <x v="217"/>
    <x v="2"/>
    <x v="6"/>
    <s v="Head Support"/>
    <n v="32000"/>
    <x v="0"/>
    <x v="5"/>
    <n v="13"/>
    <x v="1"/>
    <s v="Permanent"/>
    <n v="4"/>
  </r>
  <r>
    <n v="250"/>
    <s v="EMP-2250"/>
    <x v="3"/>
    <x v="7"/>
    <x v="4"/>
    <s v="Tech Lead"/>
    <n v="66000"/>
    <x v="2"/>
    <x v="5"/>
    <n v="18"/>
    <x v="0"/>
    <s v="Permanent"/>
    <n v="6"/>
  </r>
  <r>
    <n v="251"/>
    <s v="EMP-2251"/>
    <x v="218"/>
    <x v="1"/>
    <x v="2"/>
    <s v="HR Head"/>
    <n v="56000"/>
    <x v="3"/>
    <x v="5"/>
    <n v="17"/>
    <x v="0"/>
    <s v="Intern"/>
    <n v="5"/>
  </r>
  <r>
    <n v="252"/>
    <s v="EMP-2252"/>
    <x v="219"/>
    <x v="7"/>
    <x v="1"/>
    <s v="Sr Developer"/>
    <n v="142000"/>
    <x v="3"/>
    <x v="5"/>
    <n v="17"/>
    <x v="1"/>
    <s v="Intern"/>
    <n v="10"/>
  </r>
  <r>
    <n v="253"/>
    <s v="EMP-2253"/>
    <x v="220"/>
    <x v="5"/>
    <x v="4"/>
    <s v="CFO"/>
    <n v="101000"/>
    <x v="4"/>
    <x v="5"/>
    <n v="0"/>
    <x v="0"/>
    <s v="Contractual"/>
    <n v="0"/>
  </r>
  <r>
    <n v="254"/>
    <s v="EMP-2254"/>
    <x v="221"/>
    <x v="3"/>
    <x v="5"/>
    <s v="Ops Manager"/>
    <n v="21000"/>
    <x v="3"/>
    <x v="5"/>
    <n v="2"/>
    <x v="1"/>
    <s v="Intern"/>
    <n v="10"/>
  </r>
  <r>
    <n v="255"/>
    <s v="EMP-2255"/>
    <x v="222"/>
    <x v="1"/>
    <x v="0"/>
    <s v="HR Executive"/>
    <n v="53000"/>
    <x v="2"/>
    <x v="5"/>
    <n v="7"/>
    <x v="0"/>
    <s v="Contractual"/>
    <n v="7"/>
  </r>
  <r>
    <n v="256"/>
    <s v="EMP-2256"/>
    <x v="223"/>
    <x v="0"/>
    <x v="5"/>
    <s v="Marketing Executive"/>
    <n v="50000"/>
    <x v="0"/>
    <x v="5"/>
    <n v="17"/>
    <x v="1"/>
    <s v="Permanent"/>
    <n v="10"/>
  </r>
  <r>
    <n v="257"/>
    <s v="EMP-2257"/>
    <x v="224"/>
    <x v="2"/>
    <x v="0"/>
    <s v="Sr Support"/>
    <n v="39000"/>
    <x v="4"/>
    <x v="5"/>
    <n v="11"/>
    <x v="1"/>
    <s v="Permanent"/>
    <n v="9"/>
  </r>
  <r>
    <n v="258"/>
    <s v="EMP-2258"/>
    <x v="225"/>
    <x v="2"/>
    <x v="1"/>
    <s v="Sr Support"/>
    <n v="51000"/>
    <x v="0"/>
    <x v="5"/>
    <n v="10"/>
    <x v="0"/>
    <s v="Permanent"/>
    <n v="5"/>
  </r>
  <r>
    <n v="259"/>
    <s v="EMP-2259"/>
    <x v="184"/>
    <x v="0"/>
    <x v="6"/>
    <s v="CMO"/>
    <n v="82000"/>
    <x v="3"/>
    <x v="5"/>
    <n v="0"/>
    <x v="0"/>
    <s v="Contractual"/>
    <n v="6"/>
  </r>
  <r>
    <n v="260"/>
    <s v="EMP-2260"/>
    <x v="226"/>
    <x v="4"/>
    <x v="5"/>
    <s v="Sales Executive"/>
    <n v="85000"/>
    <x v="0"/>
    <x v="5"/>
    <n v="5"/>
    <x v="1"/>
    <s v="Permanent"/>
    <n v="6"/>
  </r>
  <r>
    <n v="261"/>
    <s v="EMP-2261"/>
    <x v="227"/>
    <x v="2"/>
    <x v="6"/>
    <s v="Sr Support"/>
    <n v="35000"/>
    <x v="3"/>
    <x v="5"/>
    <n v="6"/>
    <x v="1"/>
    <s v="Contractual"/>
    <n v="11"/>
  </r>
  <r>
    <n v="262"/>
    <s v="EMP-2262"/>
    <x v="228"/>
    <x v="3"/>
    <x v="7"/>
    <s v="Sr Operations"/>
    <n v="74000"/>
    <x v="1"/>
    <x v="5"/>
    <n v="1"/>
    <x v="1"/>
    <s v="Permanent"/>
    <n v="11"/>
  </r>
  <r>
    <n v="263"/>
    <s v="EMP-2263"/>
    <x v="229"/>
    <x v="4"/>
    <x v="5"/>
    <s v="Sales Manager"/>
    <n v="68000"/>
    <x v="0"/>
    <x v="5"/>
    <n v="1"/>
    <x v="0"/>
    <s v="Contractual"/>
    <n v="12"/>
  </r>
  <r>
    <n v="264"/>
    <s v="EMP-2264"/>
    <x v="230"/>
    <x v="2"/>
    <x v="5"/>
    <s v="Sr Support"/>
    <n v="41000"/>
    <x v="3"/>
    <x v="5"/>
    <n v="7"/>
    <x v="1"/>
    <s v="Permanent"/>
    <n v="10"/>
  </r>
  <r>
    <n v="265"/>
    <s v="EMP-2265"/>
    <x v="231"/>
    <x v="2"/>
    <x v="3"/>
    <s v="Support Manager"/>
    <n v="34000"/>
    <x v="3"/>
    <x v="5"/>
    <n v="6"/>
    <x v="0"/>
    <s v="Permanent"/>
    <n v="1"/>
  </r>
  <r>
    <n v="266"/>
    <s v="EMP-2266"/>
    <x v="232"/>
    <x v="1"/>
    <x v="4"/>
    <s v="HR Head"/>
    <n v="46000"/>
    <x v="3"/>
    <x v="5"/>
    <n v="0"/>
    <x v="1"/>
    <s v="Permanent"/>
    <n v="7"/>
  </r>
  <r>
    <n v="267"/>
    <s v="EMP-2267"/>
    <x v="233"/>
    <x v="7"/>
    <x v="2"/>
    <s v="Sr Developer"/>
    <n v="137000"/>
    <x v="3"/>
    <x v="5"/>
    <n v="3"/>
    <x v="0"/>
    <s v="Contractual"/>
    <n v="9"/>
  </r>
  <r>
    <n v="268"/>
    <s v="EMP-2268"/>
    <x v="234"/>
    <x v="5"/>
    <x v="1"/>
    <s v="Finance Manager"/>
    <n v="66000"/>
    <x v="3"/>
    <x v="5"/>
    <n v="6"/>
    <x v="1"/>
    <s v="Permanent"/>
    <n v="7"/>
  </r>
  <r>
    <n v="269"/>
    <s v="EMP-2269"/>
    <x v="235"/>
    <x v="3"/>
    <x v="2"/>
    <s v="Operations Executive"/>
    <n v="49000"/>
    <x v="0"/>
    <x v="5"/>
    <n v="4"/>
    <x v="1"/>
    <s v="Permanent"/>
    <n v="3"/>
  </r>
  <r>
    <n v="270"/>
    <s v="EMP-2270"/>
    <x v="236"/>
    <x v="0"/>
    <x v="5"/>
    <s v="Sr Marketing"/>
    <n v="52000"/>
    <x v="0"/>
    <x v="6"/>
    <n v="16"/>
    <x v="0"/>
    <s v="Intern"/>
    <n v="7"/>
  </r>
  <r>
    <n v="271"/>
    <s v="EMP-2271"/>
    <x v="32"/>
    <x v="2"/>
    <x v="5"/>
    <s v="Sr Support"/>
    <n v="23000"/>
    <x v="0"/>
    <x v="6"/>
    <n v="7"/>
    <x v="0"/>
    <s v="Permanent"/>
    <n v="9"/>
  </r>
  <r>
    <n v="272"/>
    <s v="EMP-2272"/>
    <x v="237"/>
    <x v="0"/>
    <x v="4"/>
    <s v="Sr Marketing"/>
    <n v="71000"/>
    <x v="0"/>
    <x v="6"/>
    <n v="18"/>
    <x v="0"/>
    <s v="Permanent"/>
    <n v="5"/>
  </r>
  <r>
    <n v="273"/>
    <s v="EMP-2273"/>
    <x v="119"/>
    <x v="6"/>
    <x v="5"/>
    <s v="Admin Executive"/>
    <n v="43000"/>
    <x v="3"/>
    <x v="6"/>
    <n v="10"/>
    <x v="1"/>
    <s v="Permanent"/>
    <n v="1"/>
  </r>
  <r>
    <n v="274"/>
    <s v="EMP-2274"/>
    <x v="238"/>
    <x v="4"/>
    <x v="7"/>
    <s v="Sales Manager"/>
    <n v="63000"/>
    <x v="3"/>
    <x v="6"/>
    <n v="8"/>
    <x v="1"/>
    <s v="Permanent"/>
    <n v="2"/>
  </r>
  <r>
    <n v="275"/>
    <s v="EMP-2275"/>
    <x v="239"/>
    <x v="5"/>
    <x v="3"/>
    <s v="Finance Manager"/>
    <n v="93000"/>
    <x v="0"/>
    <x v="6"/>
    <n v="18"/>
    <x v="1"/>
    <s v="Permanent"/>
    <n v="12"/>
  </r>
  <r>
    <n v="276"/>
    <s v="EMP-2276"/>
    <x v="240"/>
    <x v="7"/>
    <x v="4"/>
    <s v="Tech Lead"/>
    <n v="143000"/>
    <x v="3"/>
    <x v="6"/>
    <n v="2"/>
    <x v="1"/>
    <s v="Permanent"/>
    <n v="8"/>
  </r>
  <r>
    <n v="277"/>
    <s v="EMP-2277"/>
    <x v="241"/>
    <x v="7"/>
    <x v="1"/>
    <s v="Tech Lead"/>
    <n v="72000"/>
    <x v="2"/>
    <x v="6"/>
    <n v="3"/>
    <x v="1"/>
    <s v="Permanent"/>
    <n v="9"/>
  </r>
  <r>
    <n v="278"/>
    <s v="EMP-2278"/>
    <x v="134"/>
    <x v="2"/>
    <x v="5"/>
    <s v="Head Support"/>
    <n v="60000"/>
    <x v="0"/>
    <x v="6"/>
    <n v="11"/>
    <x v="1"/>
    <s v="Permanent"/>
    <n v="1"/>
  </r>
  <r>
    <n v="279"/>
    <s v="EMP-2279"/>
    <x v="242"/>
    <x v="1"/>
    <x v="4"/>
    <s v="HR Head"/>
    <n v="44000"/>
    <x v="1"/>
    <x v="6"/>
    <n v="6"/>
    <x v="1"/>
    <s v="Permanent"/>
    <n v="9"/>
  </r>
  <r>
    <n v="280"/>
    <s v="EMP-2280"/>
    <x v="243"/>
    <x v="6"/>
    <x v="2"/>
    <s v="Admin Executive"/>
    <n v="16000"/>
    <x v="0"/>
    <x v="6"/>
    <n v="15"/>
    <x v="0"/>
    <s v="Contractual"/>
    <n v="0"/>
  </r>
  <r>
    <n v="281"/>
    <s v="EMP-2281"/>
    <x v="244"/>
    <x v="3"/>
    <x v="0"/>
    <s v="Ops Manager"/>
    <n v="26000"/>
    <x v="4"/>
    <x v="6"/>
    <n v="11"/>
    <x v="1"/>
    <s v="Permanent"/>
    <n v="0"/>
  </r>
  <r>
    <n v="282"/>
    <s v="EMP-2282"/>
    <x v="245"/>
    <x v="0"/>
    <x v="4"/>
    <s v="CMO"/>
    <n v="78000"/>
    <x v="1"/>
    <x v="6"/>
    <n v="13"/>
    <x v="0"/>
    <s v="Intern"/>
    <n v="0"/>
  </r>
  <r>
    <n v="283"/>
    <s v="EMP-2283"/>
    <x v="210"/>
    <x v="5"/>
    <x v="7"/>
    <s v="Finance Manager"/>
    <n v="110000"/>
    <x v="0"/>
    <x v="6"/>
    <n v="9"/>
    <x v="1"/>
    <s v="Intern"/>
    <n v="7"/>
  </r>
  <r>
    <n v="284"/>
    <s v="EMP-2284"/>
    <x v="246"/>
    <x v="7"/>
    <x v="4"/>
    <s v="Tech Lead"/>
    <n v="108000"/>
    <x v="0"/>
    <x v="6"/>
    <n v="7"/>
    <x v="1"/>
    <s v="Permanent"/>
    <n v="2"/>
  </r>
  <r>
    <n v="285"/>
    <s v="EMP-2285"/>
    <x v="1"/>
    <x v="0"/>
    <x v="1"/>
    <s v="Marketing Executive"/>
    <n v="98000"/>
    <x v="3"/>
    <x v="6"/>
    <n v="5"/>
    <x v="0"/>
    <s v="Permanent"/>
    <n v="10"/>
  </r>
  <r>
    <n v="286"/>
    <s v="EMP-2286"/>
    <x v="247"/>
    <x v="1"/>
    <x v="7"/>
    <s v="Sr HR Executive"/>
    <n v="20000"/>
    <x v="3"/>
    <x v="6"/>
    <n v="11"/>
    <x v="1"/>
    <s v="Permanent"/>
    <n v="1"/>
  </r>
  <r>
    <n v="287"/>
    <s v="EMP-2287"/>
    <x v="248"/>
    <x v="6"/>
    <x v="4"/>
    <s v="Sr Admin"/>
    <n v="42000"/>
    <x v="1"/>
    <x v="6"/>
    <n v="5"/>
    <x v="0"/>
    <s v="Permanent"/>
    <n v="7"/>
  </r>
  <r>
    <n v="288"/>
    <s v="EMP-2288"/>
    <x v="249"/>
    <x v="2"/>
    <x v="3"/>
    <s v="Head Support"/>
    <n v="51000"/>
    <x v="0"/>
    <x v="6"/>
    <n v="7"/>
    <x v="0"/>
    <s v="Permanent"/>
    <n v="0"/>
  </r>
  <r>
    <n v="289"/>
    <s v="EMP-2289"/>
    <x v="250"/>
    <x v="0"/>
    <x v="3"/>
    <s v="CMO"/>
    <n v="28000"/>
    <x v="2"/>
    <x v="6"/>
    <n v="3"/>
    <x v="1"/>
    <s v="Permanent"/>
    <n v="7"/>
  </r>
  <r>
    <n v="290"/>
    <s v="EMP-2290"/>
    <x v="44"/>
    <x v="6"/>
    <x v="6"/>
    <s v="Sr Admin"/>
    <n v="18000"/>
    <x v="2"/>
    <x v="6"/>
    <n v="15"/>
    <x v="1"/>
    <s v="Permanent"/>
    <n v="9"/>
  </r>
  <r>
    <n v="291"/>
    <s v="EMP-2291"/>
    <x v="234"/>
    <x v="5"/>
    <x v="2"/>
    <s v="Accounts Executive"/>
    <n v="56000"/>
    <x v="0"/>
    <x v="6"/>
    <n v="7"/>
    <x v="0"/>
    <s v="Permanent"/>
    <n v="3"/>
  </r>
  <r>
    <n v="292"/>
    <s v="EMP-2292"/>
    <x v="251"/>
    <x v="3"/>
    <x v="7"/>
    <s v="Ops Manager"/>
    <n v="64000"/>
    <x v="1"/>
    <x v="6"/>
    <n v="17"/>
    <x v="0"/>
    <s v="Permanent"/>
    <n v="0"/>
  </r>
  <r>
    <n v="293"/>
    <s v="EMP-2293"/>
    <x v="252"/>
    <x v="7"/>
    <x v="5"/>
    <s v="IT Manager"/>
    <n v="118000"/>
    <x v="1"/>
    <x v="6"/>
    <n v="6"/>
    <x v="1"/>
    <s v="Permanent"/>
    <n v="6"/>
  </r>
  <r>
    <n v="294"/>
    <s v="EMP-2294"/>
    <x v="253"/>
    <x v="6"/>
    <x v="7"/>
    <s v="Sr Admin"/>
    <n v="32000"/>
    <x v="1"/>
    <x v="6"/>
    <n v="9"/>
    <x v="0"/>
    <s v="Permanent"/>
    <n v="2"/>
  </r>
  <r>
    <n v="295"/>
    <s v="EMP-2295"/>
    <x v="254"/>
    <x v="7"/>
    <x v="0"/>
    <s v="IT Manager"/>
    <n v="111000"/>
    <x v="0"/>
    <x v="6"/>
    <n v="4"/>
    <x v="0"/>
    <s v="Permanent"/>
    <n v="3"/>
  </r>
  <r>
    <n v="296"/>
    <s v="EMP-2296"/>
    <x v="255"/>
    <x v="5"/>
    <x v="2"/>
    <s v="Sr Accountant"/>
    <n v="44000"/>
    <x v="2"/>
    <x v="6"/>
    <n v="10"/>
    <x v="1"/>
    <s v="Permanent"/>
    <n v="1"/>
  </r>
  <r>
    <n v="297"/>
    <s v="EMP-2297"/>
    <x v="256"/>
    <x v="6"/>
    <x v="7"/>
    <s v="Sr Admin"/>
    <n v="31000"/>
    <x v="2"/>
    <x v="6"/>
    <n v="10"/>
    <x v="0"/>
    <s v="Permanent"/>
    <n v="7"/>
  </r>
  <r>
    <n v="298"/>
    <s v="EMP-2298"/>
    <x v="121"/>
    <x v="0"/>
    <x v="4"/>
    <s v="Marketing Executive"/>
    <n v="90000"/>
    <x v="0"/>
    <x v="6"/>
    <n v="11"/>
    <x v="0"/>
    <s v="Permanent"/>
    <n v="10"/>
  </r>
  <r>
    <n v="299"/>
    <s v="EMP-2299"/>
    <x v="89"/>
    <x v="6"/>
    <x v="7"/>
    <s v="GM Admin"/>
    <n v="28000"/>
    <x v="0"/>
    <x v="6"/>
    <n v="8"/>
    <x v="1"/>
    <s v="Contractual"/>
    <n v="11"/>
  </r>
  <r>
    <n v="300"/>
    <s v="EMP-2300"/>
    <x v="69"/>
    <x v="5"/>
    <x v="0"/>
    <s v="Finance Manager"/>
    <n v="71000"/>
    <x v="3"/>
    <x v="6"/>
    <n v="11"/>
    <x v="0"/>
    <s v="Permanent"/>
    <n v="5"/>
  </r>
  <r>
    <n v="301"/>
    <s v="EMP-2301"/>
    <x v="257"/>
    <x v="1"/>
    <x v="7"/>
    <s v="HR Manager"/>
    <n v="66000"/>
    <x v="2"/>
    <x v="6"/>
    <n v="0"/>
    <x v="0"/>
    <s v="Permanent"/>
    <n v="8"/>
  </r>
  <r>
    <n v="302"/>
    <s v="EMP-2302"/>
    <x v="258"/>
    <x v="6"/>
    <x v="2"/>
    <s v="Admin Manager"/>
    <n v="60000"/>
    <x v="0"/>
    <x v="6"/>
    <n v="17"/>
    <x v="1"/>
    <s v="Permanent"/>
    <n v="7"/>
  </r>
  <r>
    <n v="303"/>
    <s v="EMP-2303"/>
    <x v="259"/>
    <x v="2"/>
    <x v="7"/>
    <s v="Support Executive"/>
    <n v="41000"/>
    <x v="2"/>
    <x v="6"/>
    <n v="16"/>
    <x v="1"/>
    <s v="Permanent"/>
    <n v="7"/>
  </r>
  <r>
    <n v="304"/>
    <s v="EMP-2304"/>
    <x v="260"/>
    <x v="0"/>
    <x v="5"/>
    <s v="Marketing Executive"/>
    <n v="38000"/>
    <x v="2"/>
    <x v="6"/>
    <n v="6"/>
    <x v="1"/>
    <s v="Permanent"/>
    <n v="12"/>
  </r>
  <r>
    <n v="305"/>
    <s v="EMP-2305"/>
    <x v="214"/>
    <x v="4"/>
    <x v="0"/>
    <s v="VP Sales"/>
    <n v="78000"/>
    <x v="3"/>
    <x v="6"/>
    <n v="12"/>
    <x v="0"/>
    <s v="Contractual"/>
    <n v="7"/>
  </r>
  <r>
    <n v="306"/>
    <s v="EMP-2306"/>
    <x v="255"/>
    <x v="2"/>
    <x v="7"/>
    <s v="Support Manager"/>
    <n v="54000"/>
    <x v="2"/>
    <x v="6"/>
    <n v="14"/>
    <x v="0"/>
    <s v="Permanent"/>
    <n v="0"/>
  </r>
  <r>
    <n v="307"/>
    <s v="EMP-2307"/>
    <x v="158"/>
    <x v="2"/>
    <x v="7"/>
    <s v="Support Manager"/>
    <n v="55000"/>
    <x v="3"/>
    <x v="6"/>
    <n v="8"/>
    <x v="0"/>
    <s v="Permanent"/>
    <n v="10"/>
  </r>
  <r>
    <n v="308"/>
    <s v="EMP-2308"/>
    <x v="261"/>
    <x v="4"/>
    <x v="0"/>
    <s v="Sales Executive"/>
    <n v="77000"/>
    <x v="2"/>
    <x v="6"/>
    <n v="8"/>
    <x v="1"/>
    <s v="Permanent"/>
    <n v="0"/>
  </r>
  <r>
    <n v="309"/>
    <s v="EMP-2309"/>
    <x v="262"/>
    <x v="1"/>
    <x v="0"/>
    <s v="HR Executive"/>
    <n v="47000"/>
    <x v="2"/>
    <x v="6"/>
    <n v="0"/>
    <x v="1"/>
    <s v="Permanent"/>
    <n v="1"/>
  </r>
  <r>
    <n v="310"/>
    <s v="EMP-2310"/>
    <x v="263"/>
    <x v="3"/>
    <x v="1"/>
    <s v="Ops Manager"/>
    <n v="51000"/>
    <x v="2"/>
    <x v="6"/>
    <n v="4"/>
    <x v="0"/>
    <s v="Permanent"/>
    <n v="3"/>
  </r>
  <r>
    <n v="311"/>
    <s v="EMP-2311"/>
    <x v="188"/>
    <x v="6"/>
    <x v="6"/>
    <s v="GM Admin"/>
    <n v="21000"/>
    <x v="1"/>
    <x v="6"/>
    <n v="7"/>
    <x v="1"/>
    <s v="Intern"/>
    <n v="6"/>
  </r>
  <r>
    <n v="312"/>
    <s v="EMP-2312"/>
    <x v="264"/>
    <x v="5"/>
    <x v="7"/>
    <s v="Accounts Executive"/>
    <n v="61000"/>
    <x v="0"/>
    <x v="6"/>
    <n v="15"/>
    <x v="0"/>
    <s v="Intern"/>
    <n v="11"/>
  </r>
  <r>
    <n v="313"/>
    <s v="EMP-2313"/>
    <x v="265"/>
    <x v="5"/>
    <x v="7"/>
    <s v="Accounts Executive"/>
    <n v="47000"/>
    <x v="4"/>
    <x v="6"/>
    <n v="11"/>
    <x v="1"/>
    <s v="Contractual"/>
    <n v="8"/>
  </r>
  <r>
    <n v="314"/>
    <s v="EMP-2314"/>
    <x v="266"/>
    <x v="2"/>
    <x v="1"/>
    <s v="Support Executive"/>
    <n v="33000"/>
    <x v="2"/>
    <x v="6"/>
    <n v="4"/>
    <x v="1"/>
    <s v="Permanent"/>
    <n v="7"/>
  </r>
  <r>
    <n v="315"/>
    <s v="EMP-2315"/>
    <x v="267"/>
    <x v="2"/>
    <x v="1"/>
    <s v="Support Manager"/>
    <n v="43000"/>
    <x v="3"/>
    <x v="6"/>
    <n v="10"/>
    <x v="1"/>
    <s v="Permanent"/>
    <n v="0"/>
  </r>
  <r>
    <n v="316"/>
    <s v="EMP-2316"/>
    <x v="188"/>
    <x v="4"/>
    <x v="3"/>
    <s v="Sr Sales Executive"/>
    <n v="28000"/>
    <x v="0"/>
    <x v="6"/>
    <n v="0"/>
    <x v="0"/>
    <s v="Intern"/>
    <n v="11"/>
  </r>
  <r>
    <n v="317"/>
    <s v="EMP-2317"/>
    <x v="268"/>
    <x v="7"/>
    <x v="5"/>
    <s v="Sr Developer"/>
    <n v="137000"/>
    <x v="3"/>
    <x v="6"/>
    <n v="2"/>
    <x v="0"/>
    <s v="Permanent"/>
    <n v="2"/>
  </r>
  <r>
    <n v="318"/>
    <s v="EMP-2318"/>
    <x v="269"/>
    <x v="7"/>
    <x v="3"/>
    <s v="Tech Lead"/>
    <n v="122000"/>
    <x v="0"/>
    <x v="6"/>
    <n v="1"/>
    <x v="0"/>
    <s v="Contractual"/>
    <n v="7"/>
  </r>
  <r>
    <n v="319"/>
    <s v="EMP-2319"/>
    <x v="61"/>
    <x v="2"/>
    <x v="0"/>
    <s v="Sr Support"/>
    <n v="21000"/>
    <x v="3"/>
    <x v="7"/>
    <n v="9"/>
    <x v="1"/>
    <s v="Permanent"/>
    <n v="7"/>
  </r>
  <r>
    <n v="320"/>
    <s v="EMP-2320"/>
    <x v="270"/>
    <x v="3"/>
    <x v="3"/>
    <s v="Operations Executive"/>
    <n v="57000"/>
    <x v="2"/>
    <x v="7"/>
    <n v="10"/>
    <x v="0"/>
    <s v="Permanent"/>
    <n v="10"/>
  </r>
  <r>
    <n v="321"/>
    <s v="EMP-2321"/>
    <x v="1"/>
    <x v="7"/>
    <x v="4"/>
    <s v="Tech Lead"/>
    <n v="35000"/>
    <x v="2"/>
    <x v="7"/>
    <n v="2"/>
    <x v="1"/>
    <s v="Permanent"/>
    <n v="10"/>
  </r>
  <r>
    <n v="322"/>
    <s v="EMP-2322"/>
    <x v="129"/>
    <x v="3"/>
    <x v="2"/>
    <s v="Ops Manager"/>
    <n v="23000"/>
    <x v="0"/>
    <x v="7"/>
    <n v="3"/>
    <x v="1"/>
    <s v="Permanent"/>
    <n v="3"/>
  </r>
  <r>
    <n v="323"/>
    <s v="EMP-2323"/>
    <x v="271"/>
    <x v="4"/>
    <x v="2"/>
    <s v="Sales Manager"/>
    <n v="90000"/>
    <x v="3"/>
    <x v="7"/>
    <n v="4"/>
    <x v="0"/>
    <s v="Permanent"/>
    <n v="7"/>
  </r>
  <r>
    <n v="324"/>
    <s v="EMP-2324"/>
    <x v="272"/>
    <x v="2"/>
    <x v="2"/>
    <s v="Support Executive"/>
    <n v="49000"/>
    <x v="3"/>
    <x v="7"/>
    <n v="2"/>
    <x v="1"/>
    <s v="Permanent"/>
    <n v="2"/>
  </r>
  <r>
    <n v="325"/>
    <s v="EMP-2325"/>
    <x v="273"/>
    <x v="3"/>
    <x v="6"/>
    <s v="Sr Operations"/>
    <n v="51000"/>
    <x v="0"/>
    <x v="7"/>
    <n v="1"/>
    <x v="0"/>
    <s v="Permanent"/>
    <n v="4"/>
  </r>
  <r>
    <n v="326"/>
    <s v="EMP-2326"/>
    <x v="106"/>
    <x v="2"/>
    <x v="3"/>
    <s v="Support Executive"/>
    <n v="39000"/>
    <x v="1"/>
    <x v="7"/>
    <n v="13"/>
    <x v="0"/>
    <s v="Permanent"/>
    <n v="12"/>
  </r>
  <r>
    <n v="327"/>
    <s v="EMP-2327"/>
    <x v="274"/>
    <x v="5"/>
    <x v="0"/>
    <s v="Accounts Executive"/>
    <n v="55000"/>
    <x v="3"/>
    <x v="7"/>
    <n v="8"/>
    <x v="0"/>
    <s v="Permanent"/>
    <n v="4"/>
  </r>
  <r>
    <n v="328"/>
    <s v="EMP-2328"/>
    <x v="55"/>
    <x v="2"/>
    <x v="5"/>
    <s v="Sr Support"/>
    <n v="28000"/>
    <x v="0"/>
    <x v="7"/>
    <n v="6"/>
    <x v="0"/>
    <s v="Permanent"/>
    <n v="11"/>
  </r>
  <r>
    <n v="329"/>
    <s v="EMP-2329"/>
    <x v="275"/>
    <x v="0"/>
    <x v="4"/>
    <s v="Marketing Manager"/>
    <n v="36000"/>
    <x v="3"/>
    <x v="7"/>
    <n v="12"/>
    <x v="0"/>
    <s v="Permanent"/>
    <n v="7"/>
  </r>
  <r>
    <n v="330"/>
    <s v="EMP-2330"/>
    <x v="0"/>
    <x v="1"/>
    <x v="5"/>
    <s v="HR Executive"/>
    <n v="50000"/>
    <x v="2"/>
    <x v="7"/>
    <n v="11"/>
    <x v="1"/>
    <s v="Permanent"/>
    <n v="11"/>
  </r>
  <r>
    <n v="331"/>
    <s v="EMP-2331"/>
    <x v="276"/>
    <x v="0"/>
    <x v="7"/>
    <s v="Sr Marketing"/>
    <n v="45000"/>
    <x v="3"/>
    <x v="7"/>
    <n v="16"/>
    <x v="0"/>
    <s v="Permanent"/>
    <n v="6"/>
  </r>
  <r>
    <n v="332"/>
    <s v="EMP-2332"/>
    <x v="277"/>
    <x v="3"/>
    <x v="4"/>
    <s v="Sr Operations"/>
    <n v="63000"/>
    <x v="3"/>
    <x v="7"/>
    <n v="0"/>
    <x v="1"/>
    <s v="Intern"/>
    <n v="1"/>
  </r>
  <r>
    <n v="333"/>
    <s v="EMP-2333"/>
    <x v="278"/>
    <x v="4"/>
    <x v="7"/>
    <s v="Sales Executive"/>
    <n v="42000"/>
    <x v="1"/>
    <x v="7"/>
    <n v="11"/>
    <x v="0"/>
    <s v="Permanent"/>
    <n v="2"/>
  </r>
  <r>
    <n v="334"/>
    <s v="EMP-2334"/>
    <x v="279"/>
    <x v="1"/>
    <x v="6"/>
    <s v="Sr HR Executive"/>
    <n v="52000"/>
    <x v="3"/>
    <x v="7"/>
    <n v="11"/>
    <x v="1"/>
    <s v="Permanent"/>
    <n v="2"/>
  </r>
  <r>
    <n v="335"/>
    <s v="EMP-2335"/>
    <x v="60"/>
    <x v="0"/>
    <x v="3"/>
    <s v="Sr Marketing"/>
    <n v="74000"/>
    <x v="0"/>
    <x v="7"/>
    <n v="18"/>
    <x v="0"/>
    <s v="Permanent"/>
    <n v="1"/>
  </r>
  <r>
    <n v="336"/>
    <s v="EMP-2336"/>
    <x v="280"/>
    <x v="3"/>
    <x v="4"/>
    <s v="VP Operations"/>
    <n v="46000"/>
    <x v="2"/>
    <x v="7"/>
    <n v="14"/>
    <x v="1"/>
    <s v="Permanent"/>
    <n v="1"/>
  </r>
  <r>
    <n v="337"/>
    <s v="EMP-2337"/>
    <x v="281"/>
    <x v="2"/>
    <x v="3"/>
    <s v="Head Support"/>
    <n v="55000"/>
    <x v="0"/>
    <x v="7"/>
    <n v="5"/>
    <x v="1"/>
    <s v="Permanent"/>
    <n v="10"/>
  </r>
  <r>
    <n v="338"/>
    <s v="EMP-2338"/>
    <x v="282"/>
    <x v="1"/>
    <x v="3"/>
    <s v="HR Executive"/>
    <n v="60000"/>
    <x v="3"/>
    <x v="7"/>
    <n v="10"/>
    <x v="1"/>
    <s v="Permanent"/>
    <n v="4"/>
  </r>
  <r>
    <n v="339"/>
    <s v="EMP-2339"/>
    <x v="283"/>
    <x v="5"/>
    <x v="2"/>
    <s v="Finance Manager"/>
    <n v="29000"/>
    <x v="3"/>
    <x v="7"/>
    <n v="3"/>
    <x v="1"/>
    <s v="Permanent"/>
    <n v="6"/>
  </r>
  <r>
    <n v="340"/>
    <s v="EMP-2340"/>
    <x v="284"/>
    <x v="2"/>
    <x v="7"/>
    <s v="Sr Support"/>
    <n v="39000"/>
    <x v="1"/>
    <x v="7"/>
    <n v="15"/>
    <x v="0"/>
    <s v="Permanent"/>
    <n v="0"/>
  </r>
  <r>
    <n v="341"/>
    <s v="EMP-2341"/>
    <x v="285"/>
    <x v="5"/>
    <x v="7"/>
    <s v="Accounts Executive"/>
    <n v="28000"/>
    <x v="0"/>
    <x v="7"/>
    <n v="15"/>
    <x v="0"/>
    <s v="Permanent"/>
    <n v="9"/>
  </r>
  <r>
    <n v="342"/>
    <s v="EMP-2342"/>
    <x v="286"/>
    <x v="6"/>
    <x v="4"/>
    <s v="Admin Executive"/>
    <n v="39000"/>
    <x v="0"/>
    <x v="7"/>
    <n v="14"/>
    <x v="0"/>
    <s v="Contractual"/>
    <n v="1"/>
  </r>
  <r>
    <n v="343"/>
    <s v="EMP-2343"/>
    <x v="287"/>
    <x v="4"/>
    <x v="1"/>
    <s v="Sr Sales Executive"/>
    <n v="54000"/>
    <x v="3"/>
    <x v="7"/>
    <n v="11"/>
    <x v="1"/>
    <s v="Permanent"/>
    <n v="4"/>
  </r>
  <r>
    <n v="344"/>
    <s v="EMP-2344"/>
    <x v="288"/>
    <x v="7"/>
    <x v="1"/>
    <s v="IT Manager"/>
    <n v="59000"/>
    <x v="0"/>
    <x v="7"/>
    <n v="17"/>
    <x v="1"/>
    <s v="Permanent"/>
    <n v="6"/>
  </r>
  <r>
    <n v="345"/>
    <s v="EMP-2345"/>
    <x v="176"/>
    <x v="7"/>
    <x v="7"/>
    <s v="IT Manager"/>
    <n v="108000"/>
    <x v="1"/>
    <x v="7"/>
    <n v="11"/>
    <x v="1"/>
    <s v="Permanent"/>
    <n v="11"/>
  </r>
  <r>
    <n v="346"/>
    <s v="EMP-2346"/>
    <x v="129"/>
    <x v="4"/>
    <x v="1"/>
    <s v="Sales Executive"/>
    <n v="82000"/>
    <x v="2"/>
    <x v="7"/>
    <n v="13"/>
    <x v="0"/>
    <s v="Permanent"/>
    <n v="9"/>
  </r>
  <r>
    <n v="347"/>
    <s v="EMP-2347"/>
    <x v="26"/>
    <x v="5"/>
    <x v="1"/>
    <s v="Finance Manager"/>
    <n v="101000"/>
    <x v="3"/>
    <x v="7"/>
    <n v="7"/>
    <x v="0"/>
    <s v="Permanent"/>
    <n v="5"/>
  </r>
  <r>
    <n v="348"/>
    <s v="EMP-2348"/>
    <x v="289"/>
    <x v="7"/>
    <x v="5"/>
    <s v="Software Developer"/>
    <n v="97000"/>
    <x v="2"/>
    <x v="7"/>
    <n v="7"/>
    <x v="0"/>
    <s v="Intern"/>
    <n v="0"/>
  </r>
  <r>
    <n v="349"/>
    <s v="EMP-2349"/>
    <x v="290"/>
    <x v="4"/>
    <x v="2"/>
    <s v="Sr Sales Executive"/>
    <n v="94000"/>
    <x v="3"/>
    <x v="7"/>
    <n v="10"/>
    <x v="0"/>
    <s v="Permanent"/>
    <n v="8"/>
  </r>
  <r>
    <n v="350"/>
    <s v="EMP-2350"/>
    <x v="291"/>
    <x v="5"/>
    <x v="7"/>
    <s v="Accounts Executive"/>
    <n v="31000"/>
    <x v="1"/>
    <x v="7"/>
    <n v="6"/>
    <x v="0"/>
    <s v="Permanent"/>
    <n v="10"/>
  </r>
  <r>
    <n v="351"/>
    <s v="EMP-2351"/>
    <x v="23"/>
    <x v="1"/>
    <x v="2"/>
    <s v="HR Manager"/>
    <n v="72000"/>
    <x v="2"/>
    <x v="7"/>
    <n v="6"/>
    <x v="1"/>
    <s v="Permanent"/>
    <n v="9"/>
  </r>
  <r>
    <n v="352"/>
    <s v="EMP-2352"/>
    <x v="292"/>
    <x v="4"/>
    <x v="1"/>
    <s v="VP Sales"/>
    <n v="68000"/>
    <x v="3"/>
    <x v="7"/>
    <n v="2"/>
    <x v="0"/>
    <s v="Permanent"/>
    <n v="1"/>
  </r>
  <r>
    <n v="353"/>
    <s v="EMP-2353"/>
    <x v="293"/>
    <x v="5"/>
    <x v="4"/>
    <s v="Accounts Executive"/>
    <n v="27000"/>
    <x v="2"/>
    <x v="7"/>
    <n v="13"/>
    <x v="1"/>
    <s v="Permanent"/>
    <n v="10"/>
  </r>
  <r>
    <n v="354"/>
    <s v="EMP-2354"/>
    <x v="61"/>
    <x v="3"/>
    <x v="6"/>
    <s v="Ops Manager"/>
    <n v="39000"/>
    <x v="0"/>
    <x v="7"/>
    <n v="1"/>
    <x v="1"/>
    <s v="Permanent"/>
    <n v="2"/>
  </r>
  <r>
    <n v="355"/>
    <s v="EMP-2355"/>
    <x v="294"/>
    <x v="4"/>
    <x v="0"/>
    <s v="VP Sales"/>
    <n v="64000"/>
    <x v="3"/>
    <x v="7"/>
    <n v="2"/>
    <x v="0"/>
    <s v="Permanent"/>
    <n v="12"/>
  </r>
  <r>
    <n v="356"/>
    <s v="EMP-2356"/>
    <x v="121"/>
    <x v="4"/>
    <x v="2"/>
    <s v="Sr Sales Executive"/>
    <n v="94000"/>
    <x v="3"/>
    <x v="7"/>
    <n v="4"/>
    <x v="1"/>
    <s v="Permanent"/>
    <n v="11"/>
  </r>
  <r>
    <n v="357"/>
    <s v="EMP-2357"/>
    <x v="295"/>
    <x v="0"/>
    <x v="7"/>
    <s v="Marketing Executive"/>
    <n v="53000"/>
    <x v="3"/>
    <x v="7"/>
    <n v="14"/>
    <x v="0"/>
    <s v="Permanent"/>
    <n v="11"/>
  </r>
  <r>
    <n v="358"/>
    <s v="EMP-2358"/>
    <x v="79"/>
    <x v="2"/>
    <x v="1"/>
    <s v="Head Support"/>
    <n v="29000"/>
    <x v="0"/>
    <x v="7"/>
    <n v="1"/>
    <x v="1"/>
    <s v="Permanent"/>
    <n v="8"/>
  </r>
  <r>
    <n v="359"/>
    <s v="EMP-2359"/>
    <x v="296"/>
    <x v="4"/>
    <x v="5"/>
    <s v="VP Sales"/>
    <n v="81000"/>
    <x v="3"/>
    <x v="7"/>
    <n v="12"/>
    <x v="0"/>
    <s v="Permanent"/>
    <n v="12"/>
  </r>
  <r>
    <n v="360"/>
    <s v="EMP-2360"/>
    <x v="186"/>
    <x v="1"/>
    <x v="4"/>
    <s v="HR Manager"/>
    <n v="22000"/>
    <x v="2"/>
    <x v="7"/>
    <n v="9"/>
    <x v="0"/>
    <s v="Contractual"/>
    <n v="10"/>
  </r>
  <r>
    <n v="361"/>
    <s v="EMP-2361"/>
    <x v="297"/>
    <x v="3"/>
    <x v="2"/>
    <s v="Operations Executive"/>
    <n v="72000"/>
    <x v="2"/>
    <x v="8"/>
    <n v="7"/>
    <x v="0"/>
    <s v="Permanent"/>
    <n v="6"/>
  </r>
  <r>
    <n v="362"/>
    <s v="EMP-2362"/>
    <x v="298"/>
    <x v="4"/>
    <x v="4"/>
    <s v="Sales Executive"/>
    <n v="24000"/>
    <x v="3"/>
    <x v="8"/>
    <n v="6"/>
    <x v="0"/>
    <s v="Permanent"/>
    <n v="3"/>
  </r>
  <r>
    <n v="363"/>
    <s v="EMP-2363"/>
    <x v="299"/>
    <x v="3"/>
    <x v="5"/>
    <s v="VP Operations"/>
    <n v="68000"/>
    <x v="0"/>
    <x v="8"/>
    <n v="10"/>
    <x v="1"/>
    <s v="Permanent"/>
    <n v="7"/>
  </r>
  <r>
    <n v="364"/>
    <s v="EMP-2364"/>
    <x v="300"/>
    <x v="2"/>
    <x v="4"/>
    <s v="Head Support"/>
    <n v="65000"/>
    <x v="0"/>
    <x v="8"/>
    <n v="9"/>
    <x v="0"/>
    <s v="Intern"/>
    <n v="0"/>
  </r>
  <r>
    <n v="365"/>
    <s v="EMP-2365"/>
    <x v="301"/>
    <x v="7"/>
    <x v="6"/>
    <s v="Software Developer"/>
    <n v="45000"/>
    <x v="0"/>
    <x v="8"/>
    <n v="11"/>
    <x v="1"/>
    <s v="Permanent"/>
    <n v="0"/>
  </r>
  <r>
    <n v="366"/>
    <s v="EMP-2366"/>
    <x v="104"/>
    <x v="3"/>
    <x v="1"/>
    <s v="Operations Executive"/>
    <n v="43000"/>
    <x v="0"/>
    <x v="8"/>
    <n v="15"/>
    <x v="1"/>
    <s v="Permanent"/>
    <n v="1"/>
  </r>
  <r>
    <n v="367"/>
    <s v="EMP-2367"/>
    <x v="302"/>
    <x v="5"/>
    <x v="0"/>
    <s v="Finance Manager"/>
    <n v="35000"/>
    <x v="2"/>
    <x v="8"/>
    <n v="3"/>
    <x v="1"/>
    <s v="Permanent"/>
    <n v="1"/>
  </r>
  <r>
    <n v="368"/>
    <s v="EMP-2368"/>
    <x v="200"/>
    <x v="6"/>
    <x v="0"/>
    <s v="Admin Manager"/>
    <n v="23000"/>
    <x v="1"/>
    <x v="8"/>
    <n v="1"/>
    <x v="0"/>
    <s v="Permanent"/>
    <n v="9"/>
  </r>
  <r>
    <n v="369"/>
    <s v="EMP-2369"/>
    <x v="303"/>
    <x v="2"/>
    <x v="6"/>
    <s v="Support Executive"/>
    <n v="29000"/>
    <x v="3"/>
    <x v="8"/>
    <n v="4"/>
    <x v="1"/>
    <s v="Permanent"/>
    <n v="5"/>
  </r>
  <r>
    <n v="370"/>
    <s v="EMP-2370"/>
    <x v="291"/>
    <x v="6"/>
    <x v="3"/>
    <s v="Sr Admin"/>
    <n v="55000"/>
    <x v="3"/>
    <x v="8"/>
    <n v="15"/>
    <x v="1"/>
    <s v="Permanent"/>
    <n v="12"/>
  </r>
  <r>
    <n v="371"/>
    <s v="EMP-2371"/>
    <x v="304"/>
    <x v="2"/>
    <x v="1"/>
    <s v="Support Manager"/>
    <n v="62000"/>
    <x v="3"/>
    <x v="8"/>
    <n v="17"/>
    <x v="1"/>
    <s v="Permanent"/>
    <n v="7"/>
  </r>
  <r>
    <n v="372"/>
    <s v="EMP-2372"/>
    <x v="124"/>
    <x v="0"/>
    <x v="5"/>
    <s v="Marketing Manager"/>
    <n v="72000"/>
    <x v="0"/>
    <x v="8"/>
    <n v="15"/>
    <x v="0"/>
    <s v="Permanent"/>
    <n v="3"/>
  </r>
  <r>
    <n v="373"/>
    <s v="EMP-2373"/>
    <x v="8"/>
    <x v="3"/>
    <x v="5"/>
    <s v="Operations Executive"/>
    <n v="61000"/>
    <x v="3"/>
    <x v="8"/>
    <n v="14"/>
    <x v="1"/>
    <s v="Permanent"/>
    <n v="11"/>
  </r>
  <r>
    <n v="374"/>
    <s v="EMP-2374"/>
    <x v="0"/>
    <x v="4"/>
    <x v="1"/>
    <s v="Sales Manager"/>
    <n v="44000"/>
    <x v="0"/>
    <x v="8"/>
    <n v="11"/>
    <x v="1"/>
    <s v="Permanent"/>
    <n v="4"/>
  </r>
  <r>
    <n v="375"/>
    <s v="EMP-2375"/>
    <x v="59"/>
    <x v="0"/>
    <x v="7"/>
    <s v="Marketing Executive"/>
    <n v="85000"/>
    <x v="3"/>
    <x v="8"/>
    <n v="10"/>
    <x v="1"/>
    <s v="Intern"/>
    <n v="10"/>
  </r>
  <r>
    <n v="376"/>
    <s v="EMP-2376"/>
    <x v="159"/>
    <x v="2"/>
    <x v="5"/>
    <s v="Support Executive"/>
    <n v="20000"/>
    <x v="3"/>
    <x v="8"/>
    <n v="9"/>
    <x v="1"/>
    <s v="Permanent"/>
    <n v="6"/>
  </r>
  <r>
    <n v="377"/>
    <s v="EMP-2377"/>
    <x v="305"/>
    <x v="7"/>
    <x v="7"/>
    <s v="Tech Lead"/>
    <n v="81000"/>
    <x v="2"/>
    <x v="8"/>
    <n v="11"/>
    <x v="0"/>
    <s v="Permanent"/>
    <n v="4"/>
  </r>
  <r>
    <n v="378"/>
    <s v="EMP-2378"/>
    <x v="306"/>
    <x v="4"/>
    <x v="5"/>
    <s v="Sales Executive"/>
    <n v="36000"/>
    <x v="0"/>
    <x v="8"/>
    <n v="13"/>
    <x v="1"/>
    <s v="Permanent"/>
    <n v="9"/>
  </r>
  <r>
    <n v="379"/>
    <s v="EMP-2379"/>
    <x v="63"/>
    <x v="5"/>
    <x v="1"/>
    <s v="Accounts Executive"/>
    <n v="35000"/>
    <x v="0"/>
    <x v="8"/>
    <n v="1"/>
    <x v="0"/>
    <s v="Permanent"/>
    <n v="11"/>
  </r>
  <r>
    <n v="380"/>
    <s v="EMP-2380"/>
    <x v="21"/>
    <x v="6"/>
    <x v="1"/>
    <s v="Admin Executive"/>
    <n v="38000"/>
    <x v="3"/>
    <x v="8"/>
    <n v="13"/>
    <x v="1"/>
    <s v="Intern"/>
    <n v="3"/>
  </r>
  <r>
    <n v="381"/>
    <s v="EMP-2381"/>
    <x v="81"/>
    <x v="6"/>
    <x v="0"/>
    <s v="Admin Manager"/>
    <n v="30000"/>
    <x v="3"/>
    <x v="8"/>
    <n v="5"/>
    <x v="0"/>
    <s v="Permanent"/>
    <n v="2"/>
  </r>
  <r>
    <n v="382"/>
    <s v="EMP-2382"/>
    <x v="145"/>
    <x v="2"/>
    <x v="2"/>
    <s v="Head Support"/>
    <n v="45000"/>
    <x v="0"/>
    <x v="8"/>
    <n v="14"/>
    <x v="0"/>
    <s v="Permanent"/>
    <n v="0"/>
  </r>
  <r>
    <n v="383"/>
    <s v="EMP-2383"/>
    <x v="307"/>
    <x v="1"/>
    <x v="0"/>
    <s v="Sr HR Executive"/>
    <n v="29000"/>
    <x v="0"/>
    <x v="8"/>
    <n v="9"/>
    <x v="1"/>
    <s v="Contractual"/>
    <n v="0"/>
  </r>
  <r>
    <n v="384"/>
    <s v="EMP-2384"/>
    <x v="232"/>
    <x v="3"/>
    <x v="3"/>
    <s v="VP Operations"/>
    <n v="18000"/>
    <x v="0"/>
    <x v="8"/>
    <n v="12"/>
    <x v="1"/>
    <s v="Permanent"/>
    <n v="9"/>
  </r>
  <r>
    <n v="385"/>
    <s v="EMP-2385"/>
    <x v="308"/>
    <x v="6"/>
    <x v="5"/>
    <s v="Admin Manager"/>
    <n v="47000"/>
    <x v="0"/>
    <x v="8"/>
    <n v="12"/>
    <x v="0"/>
    <s v="Intern"/>
    <n v="1"/>
  </r>
  <r>
    <n v="386"/>
    <s v="EMP-2386"/>
    <x v="274"/>
    <x v="6"/>
    <x v="7"/>
    <s v="Admin Manager"/>
    <n v="22000"/>
    <x v="3"/>
    <x v="8"/>
    <n v="16"/>
    <x v="0"/>
    <s v="Permanent"/>
    <n v="8"/>
  </r>
  <r>
    <n v="387"/>
    <s v="EMP-2387"/>
    <x v="309"/>
    <x v="3"/>
    <x v="7"/>
    <s v="Operations Executive"/>
    <n v="64000"/>
    <x v="3"/>
    <x v="8"/>
    <n v="3"/>
    <x v="1"/>
    <s v="Intern"/>
    <n v="5"/>
  </r>
  <r>
    <n v="388"/>
    <s v="EMP-2388"/>
    <x v="310"/>
    <x v="2"/>
    <x v="6"/>
    <s v="Support Executive"/>
    <n v="25000"/>
    <x v="0"/>
    <x v="8"/>
    <n v="7"/>
    <x v="1"/>
    <s v="Intern"/>
    <n v="3"/>
  </r>
  <r>
    <n v="389"/>
    <s v="EMP-2389"/>
    <x v="18"/>
    <x v="6"/>
    <x v="7"/>
    <s v="GM Admin"/>
    <n v="36000"/>
    <x v="3"/>
    <x v="8"/>
    <n v="10"/>
    <x v="0"/>
    <s v="Permanent"/>
    <n v="9"/>
  </r>
  <r>
    <n v="390"/>
    <s v="EMP-2390"/>
    <x v="211"/>
    <x v="3"/>
    <x v="6"/>
    <s v="Sr Operations"/>
    <n v="53000"/>
    <x v="3"/>
    <x v="8"/>
    <n v="17"/>
    <x v="1"/>
    <s v="Contractual"/>
    <n v="11"/>
  </r>
  <r>
    <n v="391"/>
    <s v="EMP-2391"/>
    <x v="311"/>
    <x v="3"/>
    <x v="6"/>
    <s v="Operations Executive"/>
    <n v="46000"/>
    <x v="2"/>
    <x v="8"/>
    <n v="5"/>
    <x v="1"/>
    <s v="Intern"/>
    <n v="0"/>
  </r>
  <r>
    <n v="392"/>
    <s v="EMP-2392"/>
    <x v="312"/>
    <x v="3"/>
    <x v="4"/>
    <s v="Ops Manager"/>
    <n v="19000"/>
    <x v="3"/>
    <x v="8"/>
    <n v="3"/>
    <x v="0"/>
    <s v="Contractual"/>
    <n v="4"/>
  </r>
  <r>
    <n v="393"/>
    <s v="EMP-2393"/>
    <x v="20"/>
    <x v="4"/>
    <x v="4"/>
    <s v="Sr Sales Executive"/>
    <n v="35000"/>
    <x v="1"/>
    <x v="8"/>
    <n v="2"/>
    <x v="1"/>
    <s v="Contractual"/>
    <n v="12"/>
  </r>
  <r>
    <n v="394"/>
    <s v="EMP-2394"/>
    <x v="174"/>
    <x v="5"/>
    <x v="0"/>
    <s v="Accounts Executive"/>
    <n v="90000"/>
    <x v="3"/>
    <x v="8"/>
    <n v="11"/>
    <x v="0"/>
    <s v="Intern"/>
    <n v="6"/>
  </r>
  <r>
    <n v="395"/>
    <s v="EMP-2395"/>
    <x v="203"/>
    <x v="1"/>
    <x v="0"/>
    <s v="HR Executive"/>
    <n v="38000"/>
    <x v="1"/>
    <x v="8"/>
    <n v="6"/>
    <x v="1"/>
    <s v="Permanent"/>
    <n v="3"/>
  </r>
  <r>
    <n v="396"/>
    <s v="EMP-2396"/>
    <x v="140"/>
    <x v="7"/>
    <x v="7"/>
    <s v="Tech Lead"/>
    <n v="62000"/>
    <x v="1"/>
    <x v="8"/>
    <n v="8"/>
    <x v="0"/>
    <s v="Contractual"/>
    <n v="11"/>
  </r>
  <r>
    <n v="397"/>
    <s v="EMP-2397"/>
    <x v="313"/>
    <x v="3"/>
    <x v="7"/>
    <s v="Sr Operations"/>
    <n v="69000"/>
    <x v="4"/>
    <x v="8"/>
    <n v="14"/>
    <x v="0"/>
    <s v="Permanent"/>
    <n v="2"/>
  </r>
  <r>
    <n v="398"/>
    <s v="EMP-2398"/>
    <x v="54"/>
    <x v="7"/>
    <x v="1"/>
    <s v="Tech Lead"/>
    <n v="44000"/>
    <x v="2"/>
    <x v="8"/>
    <n v="4"/>
    <x v="1"/>
    <s v="Permanent"/>
    <n v="11"/>
  </r>
  <r>
    <n v="399"/>
    <s v="EMP-2399"/>
    <x v="60"/>
    <x v="5"/>
    <x v="1"/>
    <s v="CFO"/>
    <n v="106000"/>
    <x v="0"/>
    <x v="8"/>
    <n v="17"/>
    <x v="1"/>
    <s v="Permanent"/>
    <n v="6"/>
  </r>
  <r>
    <n v="400"/>
    <s v="EMP-2400"/>
    <x v="314"/>
    <x v="7"/>
    <x v="6"/>
    <s v="Tech Lead"/>
    <n v="113000"/>
    <x v="0"/>
    <x v="8"/>
    <n v="1"/>
    <x v="0"/>
    <s v="Permanent"/>
    <n v="7"/>
  </r>
  <r>
    <n v="401"/>
    <s v="EMP-2401"/>
    <x v="315"/>
    <x v="3"/>
    <x v="3"/>
    <s v="Ops Manager"/>
    <n v="34000"/>
    <x v="0"/>
    <x v="8"/>
    <n v="18"/>
    <x v="0"/>
    <s v="Intern"/>
    <n v="9"/>
  </r>
  <r>
    <n v="402"/>
    <s v="EMP-2402"/>
    <x v="316"/>
    <x v="5"/>
    <x v="4"/>
    <s v="Accounts Executive"/>
    <n v="42000"/>
    <x v="2"/>
    <x v="8"/>
    <n v="13"/>
    <x v="0"/>
    <s v="Permanent"/>
    <n v="4"/>
  </r>
  <r>
    <n v="403"/>
    <s v="EMP-2403"/>
    <x v="317"/>
    <x v="5"/>
    <x v="2"/>
    <s v="Finance Manager"/>
    <n v="43000"/>
    <x v="2"/>
    <x v="8"/>
    <n v="3"/>
    <x v="1"/>
    <s v="Permanent"/>
    <n v="2"/>
  </r>
  <r>
    <n v="404"/>
    <s v="EMP-2404"/>
    <x v="91"/>
    <x v="5"/>
    <x v="7"/>
    <s v="Finance Manager"/>
    <n v="54000"/>
    <x v="1"/>
    <x v="8"/>
    <n v="6"/>
    <x v="0"/>
    <s v="Permanent"/>
    <n v="7"/>
  </r>
  <r>
    <n v="405"/>
    <s v="EMP-2405"/>
    <x v="259"/>
    <x v="6"/>
    <x v="1"/>
    <s v="Sr Admin"/>
    <n v="19000"/>
    <x v="2"/>
    <x v="8"/>
    <n v="8"/>
    <x v="0"/>
    <s v="Permanent"/>
    <n v="6"/>
  </r>
  <r>
    <n v="406"/>
    <s v="EMP-2406"/>
    <x v="318"/>
    <x v="4"/>
    <x v="4"/>
    <s v="VP Sales"/>
    <n v="54000"/>
    <x v="3"/>
    <x v="9"/>
    <n v="6"/>
    <x v="1"/>
    <s v="Permanent"/>
    <n v="0"/>
  </r>
  <r>
    <n v="407"/>
    <s v="EMP-2407"/>
    <x v="319"/>
    <x v="6"/>
    <x v="4"/>
    <s v="Sr Admin"/>
    <n v="19000"/>
    <x v="2"/>
    <x v="9"/>
    <n v="13"/>
    <x v="0"/>
    <s v="Permanent"/>
    <n v="8"/>
  </r>
  <r>
    <n v="408"/>
    <s v="EMP-2408"/>
    <x v="296"/>
    <x v="5"/>
    <x v="6"/>
    <s v="Accounts Executive"/>
    <n v="46000"/>
    <x v="0"/>
    <x v="9"/>
    <n v="9"/>
    <x v="0"/>
    <s v="Permanent"/>
    <n v="0"/>
  </r>
  <r>
    <n v="409"/>
    <s v="EMP-2409"/>
    <x v="320"/>
    <x v="6"/>
    <x v="3"/>
    <s v="Admin Manager"/>
    <n v="32000"/>
    <x v="2"/>
    <x v="9"/>
    <n v="9"/>
    <x v="1"/>
    <s v="Permanent"/>
    <n v="5"/>
  </r>
  <r>
    <n v="410"/>
    <s v="EMP-2410"/>
    <x v="321"/>
    <x v="0"/>
    <x v="2"/>
    <s v="CMO"/>
    <n v="95000"/>
    <x v="1"/>
    <x v="9"/>
    <n v="18"/>
    <x v="0"/>
    <s v="Permanent"/>
    <n v="9"/>
  </r>
  <r>
    <n v="411"/>
    <s v="EMP-2411"/>
    <x v="322"/>
    <x v="4"/>
    <x v="5"/>
    <s v="Sales Manager"/>
    <n v="26000"/>
    <x v="1"/>
    <x v="9"/>
    <n v="12"/>
    <x v="0"/>
    <s v="Permanent"/>
    <n v="3"/>
  </r>
  <r>
    <n v="412"/>
    <s v="EMP-2412"/>
    <x v="76"/>
    <x v="4"/>
    <x v="1"/>
    <s v="VP Sales"/>
    <n v="32000"/>
    <x v="3"/>
    <x v="9"/>
    <n v="18"/>
    <x v="0"/>
    <s v="Intern"/>
    <n v="3"/>
  </r>
  <r>
    <n v="413"/>
    <s v="EMP-2413"/>
    <x v="323"/>
    <x v="1"/>
    <x v="3"/>
    <s v="HR Head"/>
    <n v="29000"/>
    <x v="3"/>
    <x v="9"/>
    <n v="1"/>
    <x v="0"/>
    <s v="Permanent"/>
    <n v="1"/>
  </r>
  <r>
    <n v="414"/>
    <s v="EMP-2414"/>
    <x v="324"/>
    <x v="0"/>
    <x v="2"/>
    <s v="CMO"/>
    <n v="96000"/>
    <x v="0"/>
    <x v="9"/>
    <n v="8"/>
    <x v="0"/>
    <s v="Permanent"/>
    <n v="2"/>
  </r>
  <r>
    <n v="415"/>
    <s v="EMP-2415"/>
    <x v="242"/>
    <x v="0"/>
    <x v="3"/>
    <s v="Sr Marketing"/>
    <n v="61000"/>
    <x v="0"/>
    <x v="9"/>
    <n v="0"/>
    <x v="1"/>
    <s v="Permanent"/>
    <n v="6"/>
  </r>
  <r>
    <n v="416"/>
    <s v="EMP-2416"/>
    <x v="324"/>
    <x v="3"/>
    <x v="2"/>
    <s v="Ops Manager"/>
    <n v="51000"/>
    <x v="2"/>
    <x v="9"/>
    <n v="9"/>
    <x v="0"/>
    <s v="Intern"/>
    <n v="10"/>
  </r>
  <r>
    <n v="417"/>
    <s v="EMP-2417"/>
    <x v="278"/>
    <x v="3"/>
    <x v="5"/>
    <s v="Operations Executive"/>
    <n v="66000"/>
    <x v="0"/>
    <x v="9"/>
    <n v="8"/>
    <x v="1"/>
    <s v="Contractual"/>
    <n v="0"/>
  </r>
  <r>
    <n v="418"/>
    <s v="EMP-2418"/>
    <x v="86"/>
    <x v="4"/>
    <x v="6"/>
    <s v="Sales Executive"/>
    <n v="43000"/>
    <x v="3"/>
    <x v="9"/>
    <n v="5"/>
    <x v="1"/>
    <s v="Permanent"/>
    <n v="9"/>
  </r>
  <r>
    <n v="419"/>
    <s v="EMP-2419"/>
    <x v="325"/>
    <x v="5"/>
    <x v="7"/>
    <s v="CFO"/>
    <n v="94000"/>
    <x v="4"/>
    <x v="9"/>
    <n v="0"/>
    <x v="1"/>
    <s v="Permanent"/>
    <n v="9"/>
  </r>
  <r>
    <n v="420"/>
    <s v="EMP-2420"/>
    <x v="119"/>
    <x v="5"/>
    <x v="2"/>
    <s v="Accounts Executive"/>
    <n v="107000"/>
    <x v="0"/>
    <x v="9"/>
    <n v="1"/>
    <x v="0"/>
    <s v="Permanent"/>
    <n v="4"/>
  </r>
  <r>
    <n v="421"/>
    <s v="EMP-2421"/>
    <x v="326"/>
    <x v="0"/>
    <x v="2"/>
    <s v="CMO"/>
    <n v="45000"/>
    <x v="3"/>
    <x v="9"/>
    <n v="1"/>
    <x v="1"/>
    <s v="Intern"/>
    <n v="2"/>
  </r>
  <r>
    <n v="422"/>
    <s v="EMP-2422"/>
    <x v="327"/>
    <x v="4"/>
    <x v="7"/>
    <s v="Sales Manager"/>
    <n v="76000"/>
    <x v="0"/>
    <x v="9"/>
    <n v="14"/>
    <x v="1"/>
    <s v="Permanent"/>
    <n v="1"/>
  </r>
  <r>
    <n v="423"/>
    <s v="EMP-2423"/>
    <x v="328"/>
    <x v="4"/>
    <x v="4"/>
    <s v="Sr Sales Executive"/>
    <n v="35000"/>
    <x v="0"/>
    <x v="9"/>
    <n v="9"/>
    <x v="1"/>
    <s v="Contractual"/>
    <n v="1"/>
  </r>
  <r>
    <n v="424"/>
    <s v="EMP-2424"/>
    <x v="10"/>
    <x v="3"/>
    <x v="4"/>
    <s v="VP Operations"/>
    <n v="53000"/>
    <x v="0"/>
    <x v="9"/>
    <n v="4"/>
    <x v="1"/>
    <s v="Permanent"/>
    <n v="0"/>
  </r>
  <r>
    <n v="425"/>
    <s v="EMP-2425"/>
    <x v="329"/>
    <x v="3"/>
    <x v="3"/>
    <s v="Ops Manager"/>
    <n v="73000"/>
    <x v="0"/>
    <x v="9"/>
    <n v="16"/>
    <x v="0"/>
    <s v="Permanent"/>
    <n v="11"/>
  </r>
  <r>
    <n v="426"/>
    <s v="EMP-2426"/>
    <x v="330"/>
    <x v="5"/>
    <x v="7"/>
    <s v="Sr Accountant"/>
    <n v="88000"/>
    <x v="3"/>
    <x v="9"/>
    <n v="14"/>
    <x v="0"/>
    <s v="Contractual"/>
    <n v="0"/>
  </r>
  <r>
    <n v="427"/>
    <s v="EMP-2427"/>
    <x v="331"/>
    <x v="5"/>
    <x v="0"/>
    <s v="Sr Accountant"/>
    <n v="106000"/>
    <x v="3"/>
    <x v="9"/>
    <n v="3"/>
    <x v="0"/>
    <s v="Permanent"/>
    <n v="8"/>
  </r>
  <r>
    <n v="428"/>
    <s v="EMP-2428"/>
    <x v="161"/>
    <x v="0"/>
    <x v="4"/>
    <s v="Sr Marketing"/>
    <n v="48000"/>
    <x v="3"/>
    <x v="9"/>
    <n v="11"/>
    <x v="1"/>
    <s v="Permanent"/>
    <n v="6"/>
  </r>
  <r>
    <n v="429"/>
    <s v="EMP-2429"/>
    <x v="332"/>
    <x v="3"/>
    <x v="3"/>
    <s v="VP Operations"/>
    <n v="48000"/>
    <x v="0"/>
    <x v="9"/>
    <n v="17"/>
    <x v="0"/>
    <s v="Intern"/>
    <n v="0"/>
  </r>
  <r>
    <n v="430"/>
    <s v="EMP-2430"/>
    <x v="333"/>
    <x v="2"/>
    <x v="7"/>
    <s v="Support Manager"/>
    <n v="22000"/>
    <x v="2"/>
    <x v="9"/>
    <n v="18"/>
    <x v="0"/>
    <s v="Permanent"/>
    <n v="1"/>
  </r>
  <r>
    <n v="431"/>
    <s v="EMP-2431"/>
    <x v="334"/>
    <x v="5"/>
    <x v="5"/>
    <s v="CFO"/>
    <n v="88000"/>
    <x v="1"/>
    <x v="9"/>
    <n v="11"/>
    <x v="1"/>
    <s v="Contractual"/>
    <n v="9"/>
  </r>
  <r>
    <n v="432"/>
    <s v="EMP-2432"/>
    <x v="335"/>
    <x v="5"/>
    <x v="3"/>
    <s v="Accounts Executive"/>
    <n v="55000"/>
    <x v="2"/>
    <x v="9"/>
    <n v="8"/>
    <x v="0"/>
    <s v="Permanent"/>
    <n v="6"/>
  </r>
  <r>
    <n v="433"/>
    <s v="EMP-2433"/>
    <x v="336"/>
    <x v="2"/>
    <x v="7"/>
    <s v="Support Executive"/>
    <n v="50000"/>
    <x v="3"/>
    <x v="9"/>
    <n v="15"/>
    <x v="1"/>
    <s v="Permanent"/>
    <n v="7"/>
  </r>
  <r>
    <n v="434"/>
    <s v="EMP-2434"/>
    <x v="337"/>
    <x v="2"/>
    <x v="2"/>
    <s v="Support Manager"/>
    <n v="64000"/>
    <x v="1"/>
    <x v="9"/>
    <n v="14"/>
    <x v="0"/>
    <s v="Permanent"/>
    <n v="11"/>
  </r>
  <r>
    <n v="435"/>
    <s v="EMP-2435"/>
    <x v="316"/>
    <x v="2"/>
    <x v="3"/>
    <s v="Head Support"/>
    <n v="49000"/>
    <x v="0"/>
    <x v="9"/>
    <n v="13"/>
    <x v="1"/>
    <s v="Permanent"/>
    <n v="12"/>
  </r>
  <r>
    <n v="436"/>
    <s v="EMP-2436"/>
    <x v="338"/>
    <x v="4"/>
    <x v="6"/>
    <s v="Sales Manager"/>
    <n v="29000"/>
    <x v="0"/>
    <x v="9"/>
    <n v="15"/>
    <x v="1"/>
    <s v="Contractual"/>
    <n v="3"/>
  </r>
  <r>
    <n v="437"/>
    <s v="EMP-2437"/>
    <x v="339"/>
    <x v="1"/>
    <x v="3"/>
    <s v="Sr HR Executive"/>
    <n v="49000"/>
    <x v="0"/>
    <x v="9"/>
    <n v="11"/>
    <x v="0"/>
    <s v="Permanent"/>
    <n v="12"/>
  </r>
  <r>
    <n v="438"/>
    <s v="EMP-2438"/>
    <x v="211"/>
    <x v="7"/>
    <x v="1"/>
    <s v="IT Manager"/>
    <n v="91000"/>
    <x v="3"/>
    <x v="9"/>
    <n v="16"/>
    <x v="1"/>
    <s v="Permanent"/>
    <n v="3"/>
  </r>
  <r>
    <n v="439"/>
    <s v="EMP-2439"/>
    <x v="340"/>
    <x v="7"/>
    <x v="4"/>
    <s v="IT Manager"/>
    <n v="101000"/>
    <x v="3"/>
    <x v="9"/>
    <n v="13"/>
    <x v="1"/>
    <s v="Permanent"/>
    <n v="9"/>
  </r>
  <r>
    <n v="440"/>
    <s v="EMP-2440"/>
    <x v="341"/>
    <x v="2"/>
    <x v="5"/>
    <s v="Head Support"/>
    <n v="26000"/>
    <x v="3"/>
    <x v="9"/>
    <n v="2"/>
    <x v="1"/>
    <s v="Permanent"/>
    <n v="3"/>
  </r>
  <r>
    <n v="441"/>
    <s v="EMP-2441"/>
    <x v="342"/>
    <x v="3"/>
    <x v="4"/>
    <s v="Operations Executive"/>
    <n v="22000"/>
    <x v="0"/>
    <x v="9"/>
    <n v="4"/>
    <x v="0"/>
    <s v="Permanent"/>
    <n v="11"/>
  </r>
  <r>
    <n v="442"/>
    <s v="EMP-2442"/>
    <x v="73"/>
    <x v="6"/>
    <x v="7"/>
    <s v="GM Admin"/>
    <n v="26000"/>
    <x v="3"/>
    <x v="9"/>
    <n v="1"/>
    <x v="1"/>
    <s v="Permanent"/>
    <n v="10"/>
  </r>
  <r>
    <n v="443"/>
    <s v="EMP-2443"/>
    <x v="241"/>
    <x v="5"/>
    <x v="5"/>
    <s v="Accounts Executive"/>
    <n v="64000"/>
    <x v="0"/>
    <x v="9"/>
    <n v="7"/>
    <x v="1"/>
    <s v="Permanent"/>
    <n v="3"/>
  </r>
  <r>
    <n v="444"/>
    <s v="EMP-2444"/>
    <x v="61"/>
    <x v="5"/>
    <x v="6"/>
    <s v="Finance Manager"/>
    <n v="29000"/>
    <x v="2"/>
    <x v="9"/>
    <n v="13"/>
    <x v="0"/>
    <s v="Permanent"/>
    <n v="9"/>
  </r>
  <r>
    <n v="445"/>
    <s v="EMP-2445"/>
    <x v="343"/>
    <x v="1"/>
    <x v="4"/>
    <s v="HR Head"/>
    <n v="42000"/>
    <x v="2"/>
    <x v="9"/>
    <n v="3"/>
    <x v="1"/>
    <s v="Permanent"/>
    <n v="4"/>
  </r>
  <r>
    <n v="446"/>
    <s v="EMP-2446"/>
    <x v="344"/>
    <x v="6"/>
    <x v="2"/>
    <s v="Admin Manager"/>
    <n v="19000"/>
    <x v="0"/>
    <x v="9"/>
    <n v="17"/>
    <x v="0"/>
    <s v="Permanent"/>
    <n v="6"/>
  </r>
  <r>
    <n v="447"/>
    <s v="EMP-2447"/>
    <x v="192"/>
    <x v="6"/>
    <x v="6"/>
    <s v="GM Admin"/>
    <n v="25000"/>
    <x v="0"/>
    <x v="9"/>
    <n v="13"/>
    <x v="1"/>
    <s v="Permanent"/>
    <n v="10"/>
  </r>
  <r>
    <n v="448"/>
    <s v="EMP-2448"/>
    <x v="300"/>
    <x v="2"/>
    <x v="3"/>
    <s v="Support Manager"/>
    <n v="50000"/>
    <x v="3"/>
    <x v="9"/>
    <n v="0"/>
    <x v="0"/>
    <s v="Permanent"/>
    <n v="6"/>
  </r>
  <r>
    <n v="449"/>
    <s v="EMP-2449"/>
    <x v="345"/>
    <x v="6"/>
    <x v="7"/>
    <s v="Sr Admin"/>
    <n v="57000"/>
    <x v="2"/>
    <x v="9"/>
    <n v="1"/>
    <x v="0"/>
    <s v="Intern"/>
    <n v="12"/>
  </r>
  <r>
    <n v="450"/>
    <s v="EMP-2450"/>
    <x v="346"/>
    <x v="3"/>
    <x v="3"/>
    <s v="Ops Manager"/>
    <n v="53000"/>
    <x v="2"/>
    <x v="9"/>
    <n v="17"/>
    <x v="0"/>
    <s v="Permanent"/>
    <n v="11"/>
  </r>
  <r>
    <n v="451"/>
    <s v="EMP-2451"/>
    <x v="23"/>
    <x v="4"/>
    <x v="4"/>
    <s v="Sr Sales Executive"/>
    <n v="37000"/>
    <x v="0"/>
    <x v="9"/>
    <n v="6"/>
    <x v="0"/>
    <s v="Permanent"/>
    <n v="7"/>
  </r>
  <r>
    <n v="452"/>
    <s v="EMP-2452"/>
    <x v="347"/>
    <x v="3"/>
    <x v="3"/>
    <s v="Ops Manager"/>
    <n v="33000"/>
    <x v="2"/>
    <x v="9"/>
    <n v="5"/>
    <x v="1"/>
    <s v="Permanent"/>
    <n v="6"/>
  </r>
  <r>
    <n v="453"/>
    <s v="EMP-2453"/>
    <x v="283"/>
    <x v="1"/>
    <x v="0"/>
    <s v="HR Manager"/>
    <n v="38000"/>
    <x v="3"/>
    <x v="9"/>
    <n v="8"/>
    <x v="0"/>
    <s v="Permanent"/>
    <n v="6"/>
  </r>
  <r>
    <n v="454"/>
    <s v="EMP-2454"/>
    <x v="348"/>
    <x v="0"/>
    <x v="3"/>
    <s v="Sr Marketing"/>
    <n v="37000"/>
    <x v="0"/>
    <x v="10"/>
    <n v="6"/>
    <x v="1"/>
    <s v="Permanent"/>
    <n v="1"/>
  </r>
  <r>
    <n v="455"/>
    <s v="EMP-2455"/>
    <x v="349"/>
    <x v="2"/>
    <x v="7"/>
    <s v="Support Executive"/>
    <n v="61000"/>
    <x v="3"/>
    <x v="10"/>
    <n v="11"/>
    <x v="1"/>
    <s v="Permanent"/>
    <n v="11"/>
  </r>
  <r>
    <n v="456"/>
    <s v="EMP-2456"/>
    <x v="350"/>
    <x v="2"/>
    <x v="6"/>
    <s v="Support Manager"/>
    <n v="27000"/>
    <x v="2"/>
    <x v="10"/>
    <n v="9"/>
    <x v="0"/>
    <s v="Permanent"/>
    <n v="0"/>
  </r>
  <r>
    <n v="457"/>
    <s v="EMP-2457"/>
    <x v="351"/>
    <x v="1"/>
    <x v="7"/>
    <s v="HR Head"/>
    <n v="68000"/>
    <x v="3"/>
    <x v="10"/>
    <n v="8"/>
    <x v="0"/>
    <s v="Permanent"/>
    <n v="9"/>
  </r>
  <r>
    <n v="458"/>
    <s v="EMP-2458"/>
    <x v="352"/>
    <x v="7"/>
    <x v="4"/>
    <s v="Software Developer"/>
    <n v="89000"/>
    <x v="1"/>
    <x v="10"/>
    <n v="8"/>
    <x v="1"/>
    <s v="Permanent"/>
    <n v="1"/>
  </r>
  <r>
    <n v="459"/>
    <s v="EMP-2459"/>
    <x v="353"/>
    <x v="0"/>
    <x v="6"/>
    <s v="CMO"/>
    <n v="33000"/>
    <x v="3"/>
    <x v="10"/>
    <n v="15"/>
    <x v="0"/>
    <s v="Intern"/>
    <n v="1"/>
  </r>
  <r>
    <n v="460"/>
    <s v="EMP-2460"/>
    <x v="107"/>
    <x v="3"/>
    <x v="2"/>
    <s v="Sr Operations"/>
    <n v="40000"/>
    <x v="1"/>
    <x v="10"/>
    <n v="7"/>
    <x v="1"/>
    <s v="Intern"/>
    <n v="9"/>
  </r>
  <r>
    <n v="461"/>
    <s v="EMP-2461"/>
    <x v="25"/>
    <x v="3"/>
    <x v="3"/>
    <s v="Operations Executive"/>
    <n v="33000"/>
    <x v="3"/>
    <x v="10"/>
    <n v="0"/>
    <x v="0"/>
    <s v="Intern"/>
    <n v="7"/>
  </r>
  <r>
    <n v="462"/>
    <s v="EMP-2462"/>
    <x v="87"/>
    <x v="2"/>
    <x v="0"/>
    <s v="Support Manager"/>
    <n v="48000"/>
    <x v="2"/>
    <x v="10"/>
    <n v="18"/>
    <x v="0"/>
    <s v="Permanent"/>
    <n v="4"/>
  </r>
  <r>
    <n v="463"/>
    <s v="EMP-2463"/>
    <x v="354"/>
    <x v="7"/>
    <x v="3"/>
    <s v="Software Developer"/>
    <n v="132000"/>
    <x v="3"/>
    <x v="10"/>
    <n v="16"/>
    <x v="0"/>
    <s v="Intern"/>
    <n v="8"/>
  </r>
  <r>
    <n v="464"/>
    <s v="EMP-2464"/>
    <x v="233"/>
    <x v="4"/>
    <x v="7"/>
    <s v="VP Sales"/>
    <n v="85000"/>
    <x v="3"/>
    <x v="10"/>
    <n v="1"/>
    <x v="0"/>
    <s v="Permanent"/>
    <n v="7"/>
  </r>
  <r>
    <n v="465"/>
    <s v="EMP-2465"/>
    <x v="293"/>
    <x v="2"/>
    <x v="1"/>
    <s v="Sr Support"/>
    <n v="63000"/>
    <x v="1"/>
    <x v="10"/>
    <n v="2"/>
    <x v="1"/>
    <s v="Permanent"/>
    <n v="1"/>
  </r>
  <r>
    <n v="466"/>
    <s v="EMP-2466"/>
    <x v="355"/>
    <x v="1"/>
    <x v="3"/>
    <s v="Sr HR Executive"/>
    <n v="52000"/>
    <x v="2"/>
    <x v="10"/>
    <n v="16"/>
    <x v="0"/>
    <s v="Permanent"/>
    <n v="4"/>
  </r>
  <r>
    <n v="467"/>
    <s v="EMP-2467"/>
    <x v="336"/>
    <x v="1"/>
    <x v="4"/>
    <s v="HR Executive"/>
    <n v="50000"/>
    <x v="0"/>
    <x v="10"/>
    <n v="15"/>
    <x v="1"/>
    <s v="Permanent"/>
    <n v="12"/>
  </r>
  <r>
    <n v="468"/>
    <s v="EMP-2468"/>
    <x v="180"/>
    <x v="5"/>
    <x v="5"/>
    <s v="Finance Manager"/>
    <n v="30000"/>
    <x v="2"/>
    <x v="10"/>
    <n v="1"/>
    <x v="0"/>
    <s v="Permanent"/>
    <n v="1"/>
  </r>
  <r>
    <n v="469"/>
    <s v="EMP-2469"/>
    <x v="356"/>
    <x v="6"/>
    <x v="0"/>
    <s v="Admin Executive"/>
    <n v="40000"/>
    <x v="2"/>
    <x v="10"/>
    <n v="8"/>
    <x v="1"/>
    <s v="Contractual"/>
    <n v="9"/>
  </r>
  <r>
    <n v="470"/>
    <s v="EMP-2470"/>
    <x v="357"/>
    <x v="2"/>
    <x v="0"/>
    <s v="Sr Support"/>
    <n v="61000"/>
    <x v="1"/>
    <x v="10"/>
    <n v="9"/>
    <x v="0"/>
    <s v="Intern"/>
    <n v="4"/>
  </r>
  <r>
    <n v="471"/>
    <s v="EMP-2471"/>
    <x v="358"/>
    <x v="6"/>
    <x v="4"/>
    <s v="Admin Executive"/>
    <n v="53000"/>
    <x v="0"/>
    <x v="10"/>
    <n v="4"/>
    <x v="1"/>
    <s v="Permanent"/>
    <n v="10"/>
  </r>
  <r>
    <n v="472"/>
    <s v="EMP-2472"/>
    <x v="359"/>
    <x v="1"/>
    <x v="0"/>
    <s v="HR Executive"/>
    <n v="74000"/>
    <x v="0"/>
    <x v="10"/>
    <n v="4"/>
    <x v="0"/>
    <s v="Permanent"/>
    <n v="7"/>
  </r>
  <r>
    <n v="473"/>
    <s v="EMP-2473"/>
    <x v="157"/>
    <x v="2"/>
    <x v="1"/>
    <s v="Sr Support"/>
    <n v="44000"/>
    <x v="1"/>
    <x v="10"/>
    <n v="6"/>
    <x v="1"/>
    <s v="Permanent"/>
    <n v="2"/>
  </r>
  <r>
    <n v="474"/>
    <s v="EMP-2474"/>
    <x v="28"/>
    <x v="5"/>
    <x v="3"/>
    <s v="CFO"/>
    <n v="83000"/>
    <x v="1"/>
    <x v="10"/>
    <n v="6"/>
    <x v="0"/>
    <s v="Permanent"/>
    <n v="0"/>
  </r>
  <r>
    <n v="475"/>
    <s v="EMP-2475"/>
    <x v="360"/>
    <x v="0"/>
    <x v="7"/>
    <s v="Marketing Executive"/>
    <n v="30000"/>
    <x v="0"/>
    <x v="10"/>
    <n v="0"/>
    <x v="0"/>
    <s v="Permanent"/>
    <n v="6"/>
  </r>
  <r>
    <n v="476"/>
    <s v="EMP-2476"/>
    <x v="323"/>
    <x v="7"/>
    <x v="5"/>
    <s v="Sr Developer"/>
    <n v="37000"/>
    <x v="0"/>
    <x v="10"/>
    <n v="3"/>
    <x v="1"/>
    <s v="Permanent"/>
    <n v="0"/>
  </r>
  <r>
    <n v="477"/>
    <s v="EMP-2477"/>
    <x v="330"/>
    <x v="3"/>
    <x v="2"/>
    <s v="VP Operations"/>
    <n v="20000"/>
    <x v="0"/>
    <x v="10"/>
    <n v="13"/>
    <x v="1"/>
    <s v="Permanent"/>
    <n v="6"/>
  </r>
  <r>
    <n v="478"/>
    <s v="EMP-2478"/>
    <x v="361"/>
    <x v="7"/>
    <x v="1"/>
    <s v="Software Developer"/>
    <n v="77000"/>
    <x v="2"/>
    <x v="10"/>
    <n v="5"/>
    <x v="1"/>
    <s v="Permanent"/>
    <n v="5"/>
  </r>
  <r>
    <n v="479"/>
    <s v="EMP-2479"/>
    <x v="362"/>
    <x v="1"/>
    <x v="6"/>
    <s v="HR Executive"/>
    <n v="73000"/>
    <x v="0"/>
    <x v="10"/>
    <n v="2"/>
    <x v="0"/>
    <s v="Contractual"/>
    <n v="4"/>
  </r>
  <r>
    <n v="480"/>
    <s v="EMP-2480"/>
    <x v="363"/>
    <x v="2"/>
    <x v="5"/>
    <s v="Support Executive"/>
    <n v="54000"/>
    <x v="0"/>
    <x v="10"/>
    <n v="11"/>
    <x v="0"/>
    <s v="Permanent"/>
    <n v="4"/>
  </r>
  <r>
    <n v="481"/>
    <s v="EMP-2481"/>
    <x v="196"/>
    <x v="7"/>
    <x v="6"/>
    <s v="Sr Developer"/>
    <n v="86000"/>
    <x v="2"/>
    <x v="10"/>
    <n v="17"/>
    <x v="0"/>
    <s v="Contractual"/>
    <n v="5"/>
  </r>
  <r>
    <n v="482"/>
    <s v="EMP-2482"/>
    <x v="364"/>
    <x v="2"/>
    <x v="5"/>
    <s v="Head Support"/>
    <n v="57000"/>
    <x v="3"/>
    <x v="10"/>
    <n v="12"/>
    <x v="0"/>
    <s v="Permanent"/>
    <n v="12"/>
  </r>
  <r>
    <n v="483"/>
    <s v="EMP-2483"/>
    <x v="288"/>
    <x v="6"/>
    <x v="4"/>
    <s v="Sr Admin"/>
    <n v="22000"/>
    <x v="3"/>
    <x v="10"/>
    <n v="7"/>
    <x v="1"/>
    <s v="Intern"/>
    <n v="12"/>
  </r>
  <r>
    <n v="484"/>
    <s v="EMP-2484"/>
    <x v="365"/>
    <x v="1"/>
    <x v="7"/>
    <s v="HR Head"/>
    <n v="55000"/>
    <x v="0"/>
    <x v="10"/>
    <n v="10"/>
    <x v="1"/>
    <s v="Permanent"/>
    <n v="8"/>
  </r>
  <r>
    <n v="485"/>
    <s v="EMP-2485"/>
    <x v="366"/>
    <x v="0"/>
    <x v="1"/>
    <s v="Sr Marketing"/>
    <n v="33000"/>
    <x v="2"/>
    <x v="10"/>
    <n v="6"/>
    <x v="0"/>
    <s v="Permanent"/>
    <n v="11"/>
  </r>
  <r>
    <n v="486"/>
    <s v="EMP-2486"/>
    <x v="6"/>
    <x v="4"/>
    <x v="4"/>
    <s v="Sales Manager"/>
    <n v="80000"/>
    <x v="3"/>
    <x v="10"/>
    <n v="7"/>
    <x v="1"/>
    <s v="Permanent"/>
    <n v="2"/>
  </r>
  <r>
    <n v="487"/>
    <s v="EMP-2487"/>
    <x v="87"/>
    <x v="5"/>
    <x v="7"/>
    <s v="Sr Accountant"/>
    <n v="96000"/>
    <x v="1"/>
    <x v="10"/>
    <n v="17"/>
    <x v="1"/>
    <s v="Permanent"/>
    <n v="0"/>
  </r>
  <r>
    <n v="488"/>
    <s v="EMP-2488"/>
    <x v="367"/>
    <x v="7"/>
    <x v="2"/>
    <s v="Sr Developer"/>
    <n v="133000"/>
    <x v="3"/>
    <x v="10"/>
    <n v="0"/>
    <x v="0"/>
    <s v="Intern"/>
    <n v="1"/>
  </r>
  <r>
    <n v="489"/>
    <s v="EMP-2489"/>
    <x v="368"/>
    <x v="0"/>
    <x v="7"/>
    <s v="Marketing Executive"/>
    <n v="40000"/>
    <x v="3"/>
    <x v="10"/>
    <n v="0"/>
    <x v="0"/>
    <s v="Permanent"/>
    <n v="10"/>
  </r>
  <r>
    <n v="490"/>
    <s v="EMP-2490"/>
    <x v="369"/>
    <x v="0"/>
    <x v="0"/>
    <s v="CMO"/>
    <n v="51000"/>
    <x v="2"/>
    <x v="10"/>
    <n v="2"/>
    <x v="1"/>
    <s v="Permanent"/>
    <n v="6"/>
  </r>
  <r>
    <n v="491"/>
    <s v="EMP-2491"/>
    <x v="37"/>
    <x v="0"/>
    <x v="7"/>
    <s v="Sr Marketing"/>
    <n v="89000"/>
    <x v="2"/>
    <x v="10"/>
    <n v="17"/>
    <x v="0"/>
    <s v="Permanent"/>
    <n v="10"/>
  </r>
  <r>
    <n v="492"/>
    <s v="EMP-2492"/>
    <x v="370"/>
    <x v="6"/>
    <x v="3"/>
    <s v="Admin Executive"/>
    <n v="56000"/>
    <x v="2"/>
    <x v="10"/>
    <n v="10"/>
    <x v="1"/>
    <s v="Permanent"/>
    <n v="6"/>
  </r>
  <r>
    <n v="493"/>
    <s v="EMP-2493"/>
    <x v="361"/>
    <x v="3"/>
    <x v="5"/>
    <s v="Operations Executive"/>
    <n v="66000"/>
    <x v="2"/>
    <x v="10"/>
    <n v="16"/>
    <x v="0"/>
    <s v="Permanent"/>
    <n v="9"/>
  </r>
  <r>
    <n v="494"/>
    <s v="EMP-2494"/>
    <x v="198"/>
    <x v="3"/>
    <x v="5"/>
    <s v="VP Operations"/>
    <n v="68000"/>
    <x v="3"/>
    <x v="10"/>
    <n v="5"/>
    <x v="0"/>
    <s v="Permanent"/>
    <n v="0"/>
  </r>
  <r>
    <n v="495"/>
    <s v="EMP-2495"/>
    <x v="371"/>
    <x v="0"/>
    <x v="7"/>
    <s v="Marketing Executive"/>
    <n v="44000"/>
    <x v="2"/>
    <x v="10"/>
    <n v="11"/>
    <x v="0"/>
    <s v="Contractual"/>
    <n v="11"/>
  </r>
  <r>
    <n v="496"/>
    <s v="EMP-2496"/>
    <x v="282"/>
    <x v="6"/>
    <x v="7"/>
    <s v="Admin Executive"/>
    <n v="18000"/>
    <x v="4"/>
    <x v="10"/>
    <n v="11"/>
    <x v="1"/>
    <s v="Permanent"/>
    <n v="5"/>
  </r>
  <r>
    <n v="497"/>
    <s v="EMP-2497"/>
    <x v="372"/>
    <x v="5"/>
    <x v="3"/>
    <s v="Sr Accountant"/>
    <n v="64000"/>
    <x v="0"/>
    <x v="10"/>
    <n v="16"/>
    <x v="0"/>
    <s v="Contractual"/>
    <n v="5"/>
  </r>
  <r>
    <n v="498"/>
    <s v="EMP-2498"/>
    <x v="329"/>
    <x v="1"/>
    <x v="5"/>
    <s v="HR Manager"/>
    <n v="22000"/>
    <x v="2"/>
    <x v="10"/>
    <n v="0"/>
    <x v="1"/>
    <s v="Intern"/>
    <n v="9"/>
  </r>
  <r>
    <n v="499"/>
    <s v="EMP-2499"/>
    <x v="373"/>
    <x v="3"/>
    <x v="5"/>
    <s v="Ops Manager"/>
    <n v="64000"/>
    <x v="2"/>
    <x v="10"/>
    <n v="12"/>
    <x v="0"/>
    <s v="Permanent"/>
    <n v="3"/>
  </r>
  <r>
    <n v="500"/>
    <s v="EMP-2500"/>
    <x v="374"/>
    <x v="6"/>
    <x v="6"/>
    <s v="Admin Manager"/>
    <n v="38000"/>
    <x v="3"/>
    <x v="10"/>
    <n v="1"/>
    <x v="0"/>
    <s v="Permanent"/>
    <n v="9"/>
  </r>
  <r>
    <n v="501"/>
    <s v="EMP-2501"/>
    <x v="352"/>
    <x v="0"/>
    <x v="6"/>
    <s v="Marketing Manager"/>
    <n v="34000"/>
    <x v="3"/>
    <x v="11"/>
    <n v="4"/>
    <x v="0"/>
    <s v="Contractual"/>
    <n v="10"/>
  </r>
  <r>
    <n v="502"/>
    <s v="EMP-2502"/>
    <x v="375"/>
    <x v="5"/>
    <x v="0"/>
    <s v="Finance Manager"/>
    <n v="34000"/>
    <x v="4"/>
    <x v="11"/>
    <n v="9"/>
    <x v="0"/>
    <s v="Permanent"/>
    <n v="3"/>
  </r>
  <r>
    <n v="503"/>
    <s v="EMP-2503"/>
    <x v="374"/>
    <x v="0"/>
    <x v="0"/>
    <s v="Marketing Executive"/>
    <n v="30000"/>
    <x v="0"/>
    <x v="11"/>
    <n v="4"/>
    <x v="1"/>
    <s v="Permanent"/>
    <n v="6"/>
  </r>
  <r>
    <n v="504"/>
    <s v="EMP-2504"/>
    <x v="376"/>
    <x v="4"/>
    <x v="4"/>
    <s v="Sales Manager"/>
    <n v="86000"/>
    <x v="0"/>
    <x v="11"/>
    <n v="2"/>
    <x v="1"/>
    <s v="Intern"/>
    <n v="9"/>
  </r>
  <r>
    <n v="505"/>
    <s v="EMP-2505"/>
    <x v="377"/>
    <x v="4"/>
    <x v="1"/>
    <s v="Sr Sales Executive"/>
    <n v="61000"/>
    <x v="3"/>
    <x v="11"/>
    <n v="1"/>
    <x v="0"/>
    <s v="Permanent"/>
    <n v="2"/>
  </r>
  <r>
    <n v="506"/>
    <s v="EMP-2506"/>
    <x v="378"/>
    <x v="3"/>
    <x v="0"/>
    <s v="Sr Operations"/>
    <n v="49000"/>
    <x v="0"/>
    <x v="11"/>
    <n v="6"/>
    <x v="1"/>
    <s v="Permanent"/>
    <n v="6"/>
  </r>
  <r>
    <n v="507"/>
    <s v="EMP-2507"/>
    <x v="371"/>
    <x v="5"/>
    <x v="2"/>
    <s v="Accounts Executive"/>
    <n v="49000"/>
    <x v="4"/>
    <x v="11"/>
    <n v="12"/>
    <x v="0"/>
    <s v="Permanent"/>
    <n v="4"/>
  </r>
  <r>
    <n v="508"/>
    <s v="EMP-2508"/>
    <x v="379"/>
    <x v="4"/>
    <x v="6"/>
    <s v="Sales Executive"/>
    <n v="27000"/>
    <x v="0"/>
    <x v="11"/>
    <n v="0"/>
    <x v="0"/>
    <s v="Intern"/>
    <n v="6"/>
  </r>
  <r>
    <n v="509"/>
    <s v="EMP-2509"/>
    <x v="380"/>
    <x v="7"/>
    <x v="7"/>
    <s v="Tech Lead"/>
    <n v="39000"/>
    <x v="3"/>
    <x v="11"/>
    <n v="17"/>
    <x v="0"/>
    <s v="Permanent"/>
    <n v="3"/>
  </r>
  <r>
    <n v="510"/>
    <s v="EMP-2510"/>
    <x v="381"/>
    <x v="3"/>
    <x v="4"/>
    <s v="VP Operations"/>
    <n v="47000"/>
    <x v="2"/>
    <x v="11"/>
    <n v="10"/>
    <x v="1"/>
    <s v="Permanent"/>
    <n v="11"/>
  </r>
  <r>
    <n v="511"/>
    <s v="EMP-2511"/>
    <x v="167"/>
    <x v="7"/>
    <x v="6"/>
    <s v="Tech Lead"/>
    <n v="101000"/>
    <x v="1"/>
    <x v="11"/>
    <n v="3"/>
    <x v="0"/>
    <s v="Permanent"/>
    <n v="0"/>
  </r>
  <r>
    <n v="512"/>
    <s v="EMP-2512"/>
    <x v="267"/>
    <x v="2"/>
    <x v="6"/>
    <s v="Sr Support"/>
    <n v="21000"/>
    <x v="2"/>
    <x v="11"/>
    <n v="9"/>
    <x v="1"/>
    <s v="Permanent"/>
    <n v="7"/>
  </r>
  <r>
    <n v="513"/>
    <s v="EMP-2513"/>
    <x v="150"/>
    <x v="2"/>
    <x v="1"/>
    <s v="Support Manager"/>
    <n v="22000"/>
    <x v="1"/>
    <x v="11"/>
    <n v="14"/>
    <x v="1"/>
    <s v="Permanent"/>
    <n v="4"/>
  </r>
  <r>
    <n v="514"/>
    <s v="EMP-2514"/>
    <x v="382"/>
    <x v="1"/>
    <x v="6"/>
    <s v="Sr HR Executive"/>
    <n v="68000"/>
    <x v="3"/>
    <x v="11"/>
    <n v="11"/>
    <x v="0"/>
    <s v="Permanent"/>
    <n v="11"/>
  </r>
  <r>
    <n v="515"/>
    <s v="EMP-2515"/>
    <x v="383"/>
    <x v="6"/>
    <x v="1"/>
    <s v="GM Admin"/>
    <n v="48000"/>
    <x v="3"/>
    <x v="11"/>
    <n v="8"/>
    <x v="0"/>
    <s v="Permanent"/>
    <n v="11"/>
  </r>
  <r>
    <n v="516"/>
    <s v="EMP-2516"/>
    <x v="97"/>
    <x v="6"/>
    <x v="4"/>
    <s v="GM Admin"/>
    <n v="35000"/>
    <x v="0"/>
    <x v="11"/>
    <n v="9"/>
    <x v="1"/>
    <s v="Permanent"/>
    <n v="9"/>
  </r>
  <r>
    <n v="517"/>
    <s v="EMP-2517"/>
    <x v="240"/>
    <x v="0"/>
    <x v="3"/>
    <s v="CMO"/>
    <n v="81000"/>
    <x v="3"/>
    <x v="11"/>
    <n v="7"/>
    <x v="0"/>
    <s v="Contractual"/>
    <n v="8"/>
  </r>
  <r>
    <n v="518"/>
    <s v="EMP-2518"/>
    <x v="124"/>
    <x v="6"/>
    <x v="4"/>
    <s v="Admin Manager"/>
    <n v="16000"/>
    <x v="3"/>
    <x v="11"/>
    <n v="15"/>
    <x v="0"/>
    <s v="Permanent"/>
    <n v="2"/>
  </r>
  <r>
    <n v="519"/>
    <s v="EMP-2519"/>
    <x v="235"/>
    <x v="5"/>
    <x v="0"/>
    <s v="CFO"/>
    <n v="107000"/>
    <x v="2"/>
    <x v="11"/>
    <n v="5"/>
    <x v="0"/>
    <s v="Permanent"/>
    <n v="11"/>
  </r>
  <r>
    <n v="520"/>
    <s v="EMP-2520"/>
    <x v="370"/>
    <x v="0"/>
    <x v="0"/>
    <s v="Marketing Manager"/>
    <n v="87000"/>
    <x v="3"/>
    <x v="11"/>
    <n v="11"/>
    <x v="0"/>
    <s v="Permanent"/>
    <n v="11"/>
  </r>
  <r>
    <n v="521"/>
    <s v="EMP-2521"/>
    <x v="384"/>
    <x v="0"/>
    <x v="1"/>
    <s v="Sr Marketing"/>
    <n v="60000"/>
    <x v="2"/>
    <x v="11"/>
    <n v="5"/>
    <x v="0"/>
    <s v="Intern"/>
    <n v="10"/>
  </r>
  <r>
    <n v="522"/>
    <s v="EMP-2522"/>
    <x v="163"/>
    <x v="7"/>
    <x v="7"/>
    <s v="IT Manager"/>
    <n v="133000"/>
    <x v="3"/>
    <x v="11"/>
    <n v="5"/>
    <x v="1"/>
    <s v="Permanent"/>
    <n v="4"/>
  </r>
  <r>
    <n v="523"/>
    <s v="EMP-2523"/>
    <x v="218"/>
    <x v="5"/>
    <x v="3"/>
    <s v="Finance Manager"/>
    <n v="48000"/>
    <x v="0"/>
    <x v="11"/>
    <n v="13"/>
    <x v="0"/>
    <s v="Contractual"/>
    <n v="12"/>
  </r>
  <r>
    <n v="524"/>
    <s v="EMP-2524"/>
    <x v="385"/>
    <x v="1"/>
    <x v="4"/>
    <s v="HR Manager"/>
    <n v="70000"/>
    <x v="1"/>
    <x v="11"/>
    <n v="1"/>
    <x v="0"/>
    <s v="Permanent"/>
    <n v="9"/>
  </r>
  <r>
    <n v="525"/>
    <s v="EMP-2525"/>
    <x v="228"/>
    <x v="5"/>
    <x v="2"/>
    <s v="Finance Manager"/>
    <n v="25000"/>
    <x v="3"/>
    <x v="11"/>
    <n v="14"/>
    <x v="0"/>
    <s v="Contractual"/>
    <n v="0"/>
  </r>
  <r>
    <n v="526"/>
    <s v="EMP-2526"/>
    <x v="386"/>
    <x v="0"/>
    <x v="3"/>
    <s v="Sr Marketing"/>
    <n v="68000"/>
    <x v="2"/>
    <x v="11"/>
    <n v="16"/>
    <x v="1"/>
    <s v="Permanent"/>
    <n v="10"/>
  </r>
  <r>
    <n v="527"/>
    <s v="EMP-2527"/>
    <x v="387"/>
    <x v="0"/>
    <x v="1"/>
    <s v="Sr Marketing"/>
    <n v="61000"/>
    <x v="0"/>
    <x v="11"/>
    <n v="18"/>
    <x v="1"/>
    <s v="Permanent"/>
    <n v="8"/>
  </r>
  <r>
    <n v="528"/>
    <s v="EMP-2528"/>
    <x v="388"/>
    <x v="3"/>
    <x v="5"/>
    <s v="VP Operations"/>
    <n v="22000"/>
    <x v="3"/>
    <x v="11"/>
    <n v="3"/>
    <x v="1"/>
    <s v="Intern"/>
    <n v="8"/>
  </r>
  <r>
    <n v="529"/>
    <s v="EMP-2529"/>
    <x v="389"/>
    <x v="3"/>
    <x v="5"/>
    <s v="VP Operations"/>
    <n v="22000"/>
    <x v="0"/>
    <x v="11"/>
    <n v="6"/>
    <x v="1"/>
    <s v="Intern"/>
    <n v="4"/>
  </r>
  <r>
    <n v="530"/>
    <s v="EMP-2530"/>
    <x v="252"/>
    <x v="4"/>
    <x v="1"/>
    <s v="Sales Manager"/>
    <n v="93000"/>
    <x v="0"/>
    <x v="11"/>
    <n v="10"/>
    <x v="0"/>
    <s v="Permanent"/>
    <n v="3"/>
  </r>
  <r>
    <n v="531"/>
    <s v="EMP-2531"/>
    <x v="390"/>
    <x v="6"/>
    <x v="6"/>
    <s v="Admin Executive"/>
    <n v="21000"/>
    <x v="0"/>
    <x v="11"/>
    <n v="14"/>
    <x v="0"/>
    <s v="Permanent"/>
    <n v="9"/>
  </r>
  <r>
    <n v="532"/>
    <s v="EMP-2532"/>
    <x v="391"/>
    <x v="2"/>
    <x v="7"/>
    <s v="Sr Support"/>
    <n v="20000"/>
    <x v="0"/>
    <x v="11"/>
    <n v="3"/>
    <x v="0"/>
    <s v="Intern"/>
    <n v="10"/>
  </r>
  <r>
    <n v="533"/>
    <s v="EMP-2533"/>
    <x v="392"/>
    <x v="3"/>
    <x v="1"/>
    <s v="VP Operations"/>
    <n v="74000"/>
    <x v="3"/>
    <x v="11"/>
    <n v="12"/>
    <x v="1"/>
    <s v="Permanent"/>
    <n v="7"/>
  </r>
  <r>
    <n v="534"/>
    <s v="EMP-2534"/>
    <x v="163"/>
    <x v="4"/>
    <x v="7"/>
    <s v="VP Sales"/>
    <n v="65000"/>
    <x v="2"/>
    <x v="11"/>
    <n v="2"/>
    <x v="0"/>
    <s v="Intern"/>
    <n v="7"/>
  </r>
  <r>
    <n v="535"/>
    <s v="EMP-2535"/>
    <x v="393"/>
    <x v="6"/>
    <x v="4"/>
    <s v="Admin Executive"/>
    <n v="15000"/>
    <x v="1"/>
    <x v="11"/>
    <n v="16"/>
    <x v="0"/>
    <s v="Contractual"/>
    <n v="10"/>
  </r>
  <r>
    <n v="536"/>
    <s v="EMP-2536"/>
    <x v="394"/>
    <x v="1"/>
    <x v="5"/>
    <s v="HR Head"/>
    <n v="22000"/>
    <x v="0"/>
    <x v="11"/>
    <n v="1"/>
    <x v="1"/>
    <s v="Permanent"/>
    <n v="5"/>
  </r>
  <r>
    <n v="537"/>
    <s v="EMP-2537"/>
    <x v="395"/>
    <x v="2"/>
    <x v="2"/>
    <s v="Head Support"/>
    <n v="30000"/>
    <x v="3"/>
    <x v="11"/>
    <n v="12"/>
    <x v="1"/>
    <s v="Permanent"/>
    <n v="12"/>
  </r>
  <r>
    <n v="538"/>
    <s v="EMP-2538"/>
    <x v="396"/>
    <x v="5"/>
    <x v="3"/>
    <s v="CFO"/>
    <n v="104000"/>
    <x v="0"/>
    <x v="11"/>
    <n v="14"/>
    <x v="0"/>
    <s v="Permanent"/>
    <n v="12"/>
  </r>
  <r>
    <n v="539"/>
    <s v="EMP-2539"/>
    <x v="341"/>
    <x v="1"/>
    <x v="2"/>
    <s v="HR Executive"/>
    <n v="46000"/>
    <x v="2"/>
    <x v="11"/>
    <n v="2"/>
    <x v="0"/>
    <s v="Intern"/>
    <n v="11"/>
  </r>
  <r>
    <n v="540"/>
    <s v="EMP-2540"/>
    <x v="397"/>
    <x v="4"/>
    <x v="4"/>
    <s v="Sr Sales Executive"/>
    <n v="94000"/>
    <x v="3"/>
    <x v="11"/>
    <n v="8"/>
    <x v="0"/>
    <s v="Permanent"/>
    <n v="8"/>
  </r>
  <r>
    <n v="541"/>
    <s v="EMP-2541"/>
    <x v="68"/>
    <x v="1"/>
    <x v="5"/>
    <s v="Sr HR Executive"/>
    <n v="73000"/>
    <x v="2"/>
    <x v="11"/>
    <n v="8"/>
    <x v="0"/>
    <s v="Permanent"/>
    <n v="5"/>
  </r>
  <r>
    <n v="542"/>
    <s v="EMP-2542"/>
    <x v="398"/>
    <x v="3"/>
    <x v="6"/>
    <s v="Ops Manager"/>
    <n v="49000"/>
    <x v="3"/>
    <x v="11"/>
    <n v="17"/>
    <x v="0"/>
    <s v="Contractual"/>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8F9446-DB1E-4961-BEBA-28D3ABEEB6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S5:U22" firstHeaderRow="1" firstDataRow="1" firstDataCol="0"/>
  <pivotFields count="13">
    <pivotField showAll="0"/>
    <pivotField showAll="0"/>
    <pivotField showAll="0">
      <items count="400">
        <item x="311"/>
        <item x="47"/>
        <item x="294"/>
        <item x="36"/>
        <item x="0"/>
        <item x="54"/>
        <item x="79"/>
        <item x="135"/>
        <item x="251"/>
        <item x="304"/>
        <item x="97"/>
        <item x="261"/>
        <item x="123"/>
        <item x="286"/>
        <item x="281"/>
        <item x="125"/>
        <item x="378"/>
        <item x="358"/>
        <item x="139"/>
        <item x="80"/>
        <item x="255"/>
        <item x="273"/>
        <item x="10"/>
        <item x="51"/>
        <item x="343"/>
        <item x="165"/>
        <item x="366"/>
        <item x="348"/>
        <item x="194"/>
        <item x="61"/>
        <item x="309"/>
        <item x="347"/>
        <item x="120"/>
        <item x="250"/>
        <item x="396"/>
        <item x="274"/>
        <item x="313"/>
        <item x="7"/>
        <item x="182"/>
        <item x="373"/>
        <item x="28"/>
        <item x="76"/>
        <item x="185"/>
        <item x="121"/>
        <item x="58"/>
        <item x="216"/>
        <item x="231"/>
        <item x="98"/>
        <item x="223"/>
        <item x="370"/>
        <item x="53"/>
        <item x="340"/>
        <item x="307"/>
        <item x="282"/>
        <item x="388"/>
        <item x="38"/>
        <item x="325"/>
        <item x="116"/>
        <item x="52"/>
        <item x="4"/>
        <item x="249"/>
        <item x="68"/>
        <item x="5"/>
        <item x="220"/>
        <item x="384"/>
        <item x="317"/>
        <item x="295"/>
        <item x="16"/>
        <item x="238"/>
        <item x="13"/>
        <item x="32"/>
        <item x="336"/>
        <item x="132"/>
        <item x="327"/>
        <item x="372"/>
        <item x="3"/>
        <item x="131"/>
        <item x="176"/>
        <item x="398"/>
        <item x="228"/>
        <item x="87"/>
        <item x="6"/>
        <item x="15"/>
        <item x="73"/>
        <item x="350"/>
        <item x="319"/>
        <item x="118"/>
        <item x="240"/>
        <item x="271"/>
        <item x="19"/>
        <item x="199"/>
        <item x="179"/>
        <item x="355"/>
        <item x="232"/>
        <item x="127"/>
        <item x="219"/>
        <item x="381"/>
        <item x="105"/>
        <item x="349"/>
        <item x="268"/>
        <item x="100"/>
        <item x="157"/>
        <item x="270"/>
        <item x="212"/>
        <item x="368"/>
        <item x="236"/>
        <item x="96"/>
        <item x="129"/>
        <item x="225"/>
        <item x="151"/>
        <item x="193"/>
        <item x="306"/>
        <item x="390"/>
        <item x="293"/>
        <item x="115"/>
        <item x="56"/>
        <item x="85"/>
        <item x="374"/>
        <item x="94"/>
        <item x="359"/>
        <item x="302"/>
        <item x="50"/>
        <item x="22"/>
        <item x="237"/>
        <item x="375"/>
        <item x="394"/>
        <item x="195"/>
        <item x="272"/>
        <item x="204"/>
        <item x="45"/>
        <item x="288"/>
        <item x="81"/>
        <item x="57"/>
        <item x="357"/>
        <item x="95"/>
        <item x="37"/>
        <item x="361"/>
        <item x="42"/>
        <item x="397"/>
        <item x="324"/>
        <item x="344"/>
        <item x="43"/>
        <item x="267"/>
        <item x="254"/>
        <item x="119"/>
        <item x="260"/>
        <item x="213"/>
        <item x="320"/>
        <item x="291"/>
        <item x="275"/>
        <item x="385"/>
        <item x="154"/>
        <item x="108"/>
        <item x="303"/>
        <item x="289"/>
        <item x="12"/>
        <item x="88"/>
        <item x="171"/>
        <item x="202"/>
        <item x="246"/>
        <item x="113"/>
        <item x="287"/>
        <item x="138"/>
        <item x="1"/>
        <item x="371"/>
        <item x="70"/>
        <item x="164"/>
        <item x="211"/>
        <item x="8"/>
        <item x="292"/>
        <item x="48"/>
        <item x="40"/>
        <item x="230"/>
        <item x="258"/>
        <item x="209"/>
        <item x="257"/>
        <item x="278"/>
        <item x="144"/>
        <item x="44"/>
        <item x="27"/>
        <item x="386"/>
        <item x="210"/>
        <item x="379"/>
        <item x="226"/>
        <item x="387"/>
        <item x="337"/>
        <item x="106"/>
        <item x="259"/>
        <item x="266"/>
        <item x="243"/>
        <item x="107"/>
        <item x="150"/>
        <item x="329"/>
        <item x="297"/>
        <item x="142"/>
        <item x="290"/>
        <item x="2"/>
        <item x="111"/>
        <item x="393"/>
        <item x="161"/>
        <item x="224"/>
        <item x="312"/>
        <item x="377"/>
        <item x="14"/>
        <item x="305"/>
        <item x="41"/>
        <item x="181"/>
        <item x="146"/>
        <item x="77"/>
        <item x="376"/>
        <item x="314"/>
        <item x="354"/>
        <item x="190"/>
        <item x="328"/>
        <item x="130"/>
        <item x="284"/>
        <item x="263"/>
        <item x="174"/>
        <item x="239"/>
        <item x="155"/>
        <item x="221"/>
        <item x="109"/>
        <item x="323"/>
        <item x="90"/>
        <item x="326"/>
        <item x="365"/>
        <item x="256"/>
        <item x="63"/>
        <item x="296"/>
        <item x="214"/>
        <item x="342"/>
        <item x="89"/>
        <item x="104"/>
        <item x="222"/>
        <item x="170"/>
        <item x="162"/>
        <item x="201"/>
        <item x="369"/>
        <item x="177"/>
        <item x="112"/>
        <item x="265"/>
        <item x="264"/>
        <item x="338"/>
        <item x="316"/>
        <item x="169"/>
        <item x="389"/>
        <item x="277"/>
        <item x="128"/>
        <item x="29"/>
        <item x="330"/>
        <item x="21"/>
        <item x="197"/>
        <item x="160"/>
        <item x="229"/>
        <item x="341"/>
        <item x="191"/>
        <item x="332"/>
        <item x="60"/>
        <item x="335"/>
        <item x="31"/>
        <item x="158"/>
        <item x="117"/>
        <item x="345"/>
        <item x="346"/>
        <item x="18"/>
        <item x="321"/>
        <item x="184"/>
        <item x="207"/>
        <item x="331"/>
        <item x="178"/>
        <item x="114"/>
        <item x="395"/>
        <item x="363"/>
        <item x="235"/>
        <item x="9"/>
        <item x="206"/>
        <item x="35"/>
        <item x="11"/>
        <item x="122"/>
        <item x="55"/>
        <item x="215"/>
        <item x="20"/>
        <item x="308"/>
        <item x="84"/>
        <item x="64"/>
        <item x="167"/>
        <item x="383"/>
        <item x="62"/>
        <item x="101"/>
        <item x="196"/>
        <item x="280"/>
        <item x="172"/>
        <item x="300"/>
        <item x="298"/>
        <item x="262"/>
        <item x="334"/>
        <item x="245"/>
        <item x="188"/>
        <item x="83"/>
        <item x="208"/>
        <item x="72"/>
        <item x="180"/>
        <item x="30"/>
        <item x="136"/>
        <item x="91"/>
        <item x="71"/>
        <item x="163"/>
        <item x="276"/>
        <item x="34"/>
        <item x="143"/>
        <item x="279"/>
        <item x="356"/>
        <item x="333"/>
        <item x="137"/>
        <item x="248"/>
        <item x="186"/>
        <item x="17"/>
        <item x="391"/>
        <item x="198"/>
        <item x="192"/>
        <item x="166"/>
        <item x="134"/>
        <item x="24"/>
        <item x="110"/>
        <item x="364"/>
        <item x="126"/>
        <item x="159"/>
        <item x="25"/>
        <item x="69"/>
        <item x="315"/>
        <item x="234"/>
        <item x="380"/>
        <item x="392"/>
        <item x="46"/>
        <item x="322"/>
        <item x="75"/>
        <item x="310"/>
        <item x="156"/>
        <item x="66"/>
        <item x="78"/>
        <item x="92"/>
        <item x="203"/>
        <item x="362"/>
        <item x="140"/>
        <item x="39"/>
        <item x="149"/>
        <item x="285"/>
        <item x="241"/>
        <item x="74"/>
        <item x="189"/>
        <item x="26"/>
        <item x="147"/>
        <item x="141"/>
        <item x="86"/>
        <item x="242"/>
        <item x="283"/>
        <item x="49"/>
        <item x="152"/>
        <item x="352"/>
        <item x="351"/>
        <item x="153"/>
        <item x="59"/>
        <item x="124"/>
        <item x="200"/>
        <item x="145"/>
        <item x="233"/>
        <item x="173"/>
        <item x="33"/>
        <item x="301"/>
        <item x="99"/>
        <item x="148"/>
        <item x="299"/>
        <item x="227"/>
        <item x="102"/>
        <item x="353"/>
        <item x="218"/>
        <item x="103"/>
        <item x="205"/>
        <item x="175"/>
        <item x="318"/>
        <item x="367"/>
        <item x="247"/>
        <item x="168"/>
        <item x="187"/>
        <item x="82"/>
        <item x="183"/>
        <item x="360"/>
        <item x="93"/>
        <item x="252"/>
        <item x="133"/>
        <item x="67"/>
        <item x="269"/>
        <item x="339"/>
        <item x="253"/>
        <item x="382"/>
        <item x="65"/>
        <item x="217"/>
        <item x="244"/>
        <item x="23"/>
        <item t="default"/>
      </items>
    </pivotField>
    <pivotField showAll="0">
      <items count="9">
        <item x="6"/>
        <item x="2"/>
        <item x="5"/>
        <item x="1"/>
        <item x="7"/>
        <item x="0"/>
        <item x="3"/>
        <item x="4"/>
        <item t="default"/>
      </items>
    </pivotField>
    <pivotField showAll="0">
      <items count="9">
        <item x="3"/>
        <item x="1"/>
        <item x="6"/>
        <item x="0"/>
        <item x="5"/>
        <item x="2"/>
        <item x="7"/>
        <item x="4"/>
        <item t="default"/>
      </items>
    </pivotField>
    <pivotField showAll="0"/>
    <pivotField numFmtId="3" showAll="0"/>
    <pivotField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items count="3">
        <item x="0"/>
        <item x="1"/>
        <item t="default"/>
      </items>
    </pivotField>
    <pivotField showAll="0"/>
    <pivotField showAll="0"/>
  </pivotFields>
  <formats count="6">
    <format dxfId="5">
      <pivotArea type="all" dataOnly="0" outline="0" fieldPosition="0"/>
    </format>
    <format dxfId="4">
      <pivotArea outline="0" collapsedLevelsAreSubtotals="1" fieldPosition="0"/>
    </format>
    <format dxfId="3">
      <pivotArea field="3" type="button" dataOnly="0" labelOnly="1" outline="0"/>
    </format>
    <format dxfId="2">
      <pivotArea dataOnly="0" labelOnly="1" grandRow="1" outline="0" fieldPosition="0"/>
    </format>
    <format dxfId="1">
      <pivotArea field="8" type="button" dataOnly="0" labelOnly="1" outline="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D898ED-CED7-4E97-9814-A9423493D9E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O53:O54" firstHeaderRow="1" firstDataRow="1" firstDataCol="0"/>
  <pivotFields count="13">
    <pivotField showAll="0"/>
    <pivotField showAll="0"/>
    <pivotField dataField="1" showAll="0" countASubtotal="1">
      <items count="400">
        <item x="311"/>
        <item x="47"/>
        <item x="294"/>
        <item x="36"/>
        <item x="0"/>
        <item x="54"/>
        <item x="79"/>
        <item x="135"/>
        <item x="251"/>
        <item x="304"/>
        <item x="97"/>
        <item x="261"/>
        <item x="123"/>
        <item x="286"/>
        <item x="281"/>
        <item x="125"/>
        <item x="378"/>
        <item x="358"/>
        <item x="139"/>
        <item x="80"/>
        <item x="255"/>
        <item x="273"/>
        <item x="10"/>
        <item x="51"/>
        <item x="343"/>
        <item x="165"/>
        <item x="366"/>
        <item x="348"/>
        <item x="194"/>
        <item x="61"/>
        <item x="309"/>
        <item x="347"/>
        <item x="120"/>
        <item x="250"/>
        <item x="396"/>
        <item x="274"/>
        <item x="313"/>
        <item x="7"/>
        <item x="182"/>
        <item x="373"/>
        <item x="28"/>
        <item x="76"/>
        <item x="185"/>
        <item x="121"/>
        <item x="58"/>
        <item x="216"/>
        <item x="231"/>
        <item x="98"/>
        <item x="223"/>
        <item x="370"/>
        <item x="53"/>
        <item x="340"/>
        <item x="307"/>
        <item x="282"/>
        <item x="388"/>
        <item x="38"/>
        <item x="325"/>
        <item x="116"/>
        <item x="52"/>
        <item x="4"/>
        <item x="249"/>
        <item x="68"/>
        <item x="5"/>
        <item x="220"/>
        <item x="384"/>
        <item x="317"/>
        <item x="295"/>
        <item x="16"/>
        <item x="238"/>
        <item x="13"/>
        <item x="32"/>
        <item x="336"/>
        <item x="132"/>
        <item x="327"/>
        <item x="372"/>
        <item x="3"/>
        <item x="131"/>
        <item x="176"/>
        <item x="398"/>
        <item x="228"/>
        <item x="87"/>
        <item x="6"/>
        <item x="15"/>
        <item x="73"/>
        <item x="350"/>
        <item x="319"/>
        <item x="118"/>
        <item x="240"/>
        <item x="271"/>
        <item x="19"/>
        <item x="199"/>
        <item x="179"/>
        <item x="355"/>
        <item x="232"/>
        <item x="127"/>
        <item x="219"/>
        <item x="381"/>
        <item x="105"/>
        <item x="349"/>
        <item x="268"/>
        <item x="100"/>
        <item x="157"/>
        <item x="270"/>
        <item x="212"/>
        <item x="368"/>
        <item x="236"/>
        <item x="96"/>
        <item x="129"/>
        <item x="225"/>
        <item x="151"/>
        <item x="193"/>
        <item x="306"/>
        <item x="390"/>
        <item x="293"/>
        <item x="115"/>
        <item x="56"/>
        <item x="85"/>
        <item x="374"/>
        <item x="94"/>
        <item x="359"/>
        <item x="302"/>
        <item x="50"/>
        <item x="22"/>
        <item x="237"/>
        <item x="375"/>
        <item x="394"/>
        <item x="195"/>
        <item x="272"/>
        <item x="204"/>
        <item x="45"/>
        <item x="288"/>
        <item x="81"/>
        <item x="57"/>
        <item x="357"/>
        <item x="95"/>
        <item x="37"/>
        <item x="361"/>
        <item x="42"/>
        <item x="397"/>
        <item x="324"/>
        <item x="344"/>
        <item x="43"/>
        <item x="267"/>
        <item x="254"/>
        <item x="119"/>
        <item x="260"/>
        <item x="213"/>
        <item x="320"/>
        <item x="291"/>
        <item x="275"/>
        <item x="385"/>
        <item x="154"/>
        <item x="108"/>
        <item x="303"/>
        <item x="289"/>
        <item x="12"/>
        <item x="88"/>
        <item x="171"/>
        <item x="202"/>
        <item x="246"/>
        <item x="113"/>
        <item x="287"/>
        <item x="138"/>
        <item x="1"/>
        <item x="371"/>
        <item x="70"/>
        <item x="164"/>
        <item x="211"/>
        <item x="8"/>
        <item x="292"/>
        <item x="48"/>
        <item x="40"/>
        <item x="230"/>
        <item x="258"/>
        <item x="209"/>
        <item x="257"/>
        <item x="278"/>
        <item x="144"/>
        <item x="44"/>
        <item x="27"/>
        <item x="386"/>
        <item x="210"/>
        <item x="379"/>
        <item x="226"/>
        <item x="387"/>
        <item x="337"/>
        <item x="106"/>
        <item x="259"/>
        <item x="266"/>
        <item x="243"/>
        <item x="107"/>
        <item x="150"/>
        <item x="329"/>
        <item x="297"/>
        <item x="142"/>
        <item x="290"/>
        <item x="2"/>
        <item x="111"/>
        <item x="393"/>
        <item x="161"/>
        <item x="224"/>
        <item x="312"/>
        <item x="377"/>
        <item x="14"/>
        <item x="305"/>
        <item x="41"/>
        <item x="181"/>
        <item x="146"/>
        <item x="77"/>
        <item x="376"/>
        <item x="314"/>
        <item x="354"/>
        <item x="190"/>
        <item x="328"/>
        <item x="130"/>
        <item x="284"/>
        <item x="263"/>
        <item x="174"/>
        <item x="239"/>
        <item x="155"/>
        <item x="221"/>
        <item x="109"/>
        <item x="323"/>
        <item x="90"/>
        <item x="326"/>
        <item x="365"/>
        <item x="256"/>
        <item x="63"/>
        <item x="296"/>
        <item x="214"/>
        <item x="342"/>
        <item x="89"/>
        <item x="104"/>
        <item x="222"/>
        <item x="170"/>
        <item x="162"/>
        <item x="201"/>
        <item x="369"/>
        <item x="177"/>
        <item x="112"/>
        <item x="265"/>
        <item x="264"/>
        <item x="338"/>
        <item x="316"/>
        <item x="169"/>
        <item x="389"/>
        <item x="277"/>
        <item x="128"/>
        <item x="29"/>
        <item x="330"/>
        <item x="21"/>
        <item x="197"/>
        <item x="160"/>
        <item x="229"/>
        <item x="341"/>
        <item x="191"/>
        <item x="332"/>
        <item x="60"/>
        <item x="335"/>
        <item x="31"/>
        <item x="158"/>
        <item x="117"/>
        <item x="345"/>
        <item x="346"/>
        <item x="18"/>
        <item x="321"/>
        <item x="184"/>
        <item x="207"/>
        <item x="331"/>
        <item x="178"/>
        <item x="114"/>
        <item x="395"/>
        <item x="363"/>
        <item x="235"/>
        <item x="9"/>
        <item x="206"/>
        <item x="35"/>
        <item x="11"/>
        <item x="122"/>
        <item x="55"/>
        <item x="215"/>
        <item x="20"/>
        <item x="308"/>
        <item x="84"/>
        <item x="64"/>
        <item x="167"/>
        <item x="383"/>
        <item x="62"/>
        <item x="101"/>
        <item x="196"/>
        <item x="280"/>
        <item x="172"/>
        <item x="300"/>
        <item x="298"/>
        <item x="262"/>
        <item x="334"/>
        <item x="245"/>
        <item x="188"/>
        <item x="83"/>
        <item x="208"/>
        <item x="72"/>
        <item x="180"/>
        <item x="30"/>
        <item x="136"/>
        <item x="91"/>
        <item x="71"/>
        <item x="163"/>
        <item x="276"/>
        <item x="34"/>
        <item x="143"/>
        <item x="279"/>
        <item x="356"/>
        <item x="333"/>
        <item x="137"/>
        <item x="248"/>
        <item x="186"/>
        <item x="17"/>
        <item x="391"/>
        <item x="198"/>
        <item x="192"/>
        <item x="166"/>
        <item x="134"/>
        <item x="24"/>
        <item x="110"/>
        <item x="364"/>
        <item x="126"/>
        <item x="159"/>
        <item x="25"/>
        <item x="69"/>
        <item x="315"/>
        <item x="234"/>
        <item x="380"/>
        <item x="392"/>
        <item x="46"/>
        <item x="322"/>
        <item x="75"/>
        <item x="310"/>
        <item x="156"/>
        <item x="66"/>
        <item x="78"/>
        <item x="92"/>
        <item x="203"/>
        <item x="362"/>
        <item x="140"/>
        <item x="39"/>
        <item x="149"/>
        <item x="285"/>
        <item x="241"/>
        <item x="74"/>
        <item x="189"/>
        <item x="26"/>
        <item x="147"/>
        <item x="141"/>
        <item x="86"/>
        <item x="242"/>
        <item x="283"/>
        <item x="49"/>
        <item x="152"/>
        <item x="352"/>
        <item x="351"/>
        <item x="153"/>
        <item x="59"/>
        <item x="124"/>
        <item x="200"/>
        <item x="145"/>
        <item x="233"/>
        <item x="173"/>
        <item x="33"/>
        <item x="301"/>
        <item x="99"/>
        <item x="148"/>
        <item x="299"/>
        <item x="227"/>
        <item x="102"/>
        <item x="353"/>
        <item x="218"/>
        <item x="103"/>
        <item x="205"/>
        <item x="175"/>
        <item x="318"/>
        <item x="367"/>
        <item x="247"/>
        <item x="168"/>
        <item x="187"/>
        <item x="82"/>
        <item x="183"/>
        <item x="360"/>
        <item x="93"/>
        <item x="252"/>
        <item x="133"/>
        <item x="67"/>
        <item x="269"/>
        <item x="339"/>
        <item x="253"/>
        <item x="382"/>
        <item x="65"/>
        <item x="217"/>
        <item x="244"/>
        <item x="23"/>
        <item t="countA"/>
      </items>
    </pivotField>
    <pivotField showAll="0">
      <items count="9">
        <item x="6"/>
        <item x="2"/>
        <item x="5"/>
        <item x="1"/>
        <item x="7"/>
        <item x="0"/>
        <item x="3"/>
        <item x="4"/>
        <item t="default"/>
      </items>
    </pivotField>
    <pivotField showAll="0">
      <items count="9">
        <item x="3"/>
        <item x="1"/>
        <item x="6"/>
        <item x="0"/>
        <item x="5"/>
        <item x="2"/>
        <item x="7"/>
        <item x="4"/>
        <item t="default"/>
      </items>
    </pivotField>
    <pivotField showAll="0"/>
    <pivotField numFmtId="3" showAll="0"/>
    <pivotField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items count="3">
        <item x="0"/>
        <item x="1"/>
        <item t="default"/>
      </items>
    </pivotField>
    <pivotField showAll="0"/>
    <pivotField showAll="0"/>
  </pivotFields>
  <rowItems count="1">
    <i/>
  </rowItems>
  <colItems count="1">
    <i/>
  </colItems>
  <dataFields count="1">
    <dataField name="Count of Employee Name" fld="2" subtotal="count" baseField="0" baseItem="0" numFmtId="1"/>
  </dataFields>
  <formats count="6">
    <format dxfId="11">
      <pivotArea type="all" dataOnly="0" outline="0" fieldPosition="0"/>
    </format>
    <format dxfId="10">
      <pivotArea field="3" type="button" dataOnly="0" labelOnly="1" outline="0"/>
    </format>
    <format dxfId="9">
      <pivotArea dataOnly="0" labelOnly="1" grandRow="1" outline="0" fieldPosition="0"/>
    </format>
    <format dxfId="8">
      <pivotArea field="8" type="button" dataOnly="0" labelOnly="1" outline="0"/>
    </format>
    <format dxfId="7">
      <pivotArea dataOnly="0" labelOnly="1" outline="0" axis="axisValues"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7E700A-2704-4646-8E1C-CE798C58ABA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R59:R60" firstHeaderRow="1" firstDataRow="1" firstDataCol="0"/>
  <pivotFields count="13">
    <pivotField showAll="0"/>
    <pivotField showAll="0"/>
    <pivotField showAll="0" countASubtotal="1">
      <items count="400">
        <item x="311"/>
        <item x="47"/>
        <item x="294"/>
        <item x="36"/>
        <item x="0"/>
        <item x="54"/>
        <item x="79"/>
        <item x="135"/>
        <item x="251"/>
        <item x="304"/>
        <item x="97"/>
        <item x="261"/>
        <item x="123"/>
        <item x="286"/>
        <item x="281"/>
        <item x="125"/>
        <item x="378"/>
        <item x="358"/>
        <item x="139"/>
        <item x="80"/>
        <item x="255"/>
        <item x="273"/>
        <item x="10"/>
        <item x="51"/>
        <item x="343"/>
        <item x="165"/>
        <item x="366"/>
        <item x="348"/>
        <item x="194"/>
        <item x="61"/>
        <item x="309"/>
        <item x="347"/>
        <item x="120"/>
        <item x="250"/>
        <item x="396"/>
        <item x="274"/>
        <item x="313"/>
        <item x="7"/>
        <item x="182"/>
        <item x="373"/>
        <item x="28"/>
        <item x="76"/>
        <item x="185"/>
        <item x="121"/>
        <item x="58"/>
        <item x="216"/>
        <item x="231"/>
        <item x="98"/>
        <item x="223"/>
        <item x="370"/>
        <item x="53"/>
        <item x="340"/>
        <item x="307"/>
        <item x="282"/>
        <item x="388"/>
        <item x="38"/>
        <item x="325"/>
        <item x="116"/>
        <item x="52"/>
        <item x="4"/>
        <item x="249"/>
        <item x="68"/>
        <item x="5"/>
        <item x="220"/>
        <item x="384"/>
        <item x="317"/>
        <item x="295"/>
        <item x="16"/>
        <item x="238"/>
        <item x="13"/>
        <item x="32"/>
        <item x="336"/>
        <item x="132"/>
        <item x="327"/>
        <item x="372"/>
        <item x="3"/>
        <item x="131"/>
        <item x="176"/>
        <item x="398"/>
        <item x="228"/>
        <item x="87"/>
        <item x="6"/>
        <item x="15"/>
        <item x="73"/>
        <item x="350"/>
        <item x="319"/>
        <item x="118"/>
        <item x="240"/>
        <item x="271"/>
        <item x="19"/>
        <item x="199"/>
        <item x="179"/>
        <item x="355"/>
        <item x="232"/>
        <item x="127"/>
        <item x="219"/>
        <item x="381"/>
        <item x="105"/>
        <item x="349"/>
        <item x="268"/>
        <item x="100"/>
        <item x="157"/>
        <item x="270"/>
        <item x="212"/>
        <item x="368"/>
        <item x="236"/>
        <item x="96"/>
        <item x="129"/>
        <item x="225"/>
        <item x="151"/>
        <item x="193"/>
        <item x="306"/>
        <item x="390"/>
        <item x="293"/>
        <item x="115"/>
        <item x="56"/>
        <item x="85"/>
        <item x="374"/>
        <item x="94"/>
        <item x="359"/>
        <item x="302"/>
        <item x="50"/>
        <item x="22"/>
        <item x="237"/>
        <item x="375"/>
        <item x="394"/>
        <item x="195"/>
        <item x="272"/>
        <item x="204"/>
        <item x="45"/>
        <item x="288"/>
        <item x="81"/>
        <item x="57"/>
        <item x="357"/>
        <item x="95"/>
        <item x="37"/>
        <item x="361"/>
        <item x="42"/>
        <item x="397"/>
        <item x="324"/>
        <item x="344"/>
        <item x="43"/>
        <item x="267"/>
        <item x="254"/>
        <item x="119"/>
        <item x="260"/>
        <item x="213"/>
        <item x="320"/>
        <item x="291"/>
        <item x="275"/>
        <item x="385"/>
        <item x="154"/>
        <item x="108"/>
        <item x="303"/>
        <item x="289"/>
        <item x="12"/>
        <item x="88"/>
        <item x="171"/>
        <item x="202"/>
        <item x="246"/>
        <item x="113"/>
        <item x="287"/>
        <item x="138"/>
        <item x="1"/>
        <item x="371"/>
        <item x="70"/>
        <item x="164"/>
        <item x="211"/>
        <item x="8"/>
        <item x="292"/>
        <item x="48"/>
        <item x="40"/>
        <item x="230"/>
        <item x="258"/>
        <item x="209"/>
        <item x="257"/>
        <item x="278"/>
        <item x="144"/>
        <item x="44"/>
        <item x="27"/>
        <item x="386"/>
        <item x="210"/>
        <item x="379"/>
        <item x="226"/>
        <item x="387"/>
        <item x="337"/>
        <item x="106"/>
        <item x="259"/>
        <item x="266"/>
        <item x="243"/>
        <item x="107"/>
        <item x="150"/>
        <item x="329"/>
        <item x="297"/>
        <item x="142"/>
        <item x="290"/>
        <item x="2"/>
        <item x="111"/>
        <item x="393"/>
        <item x="161"/>
        <item x="224"/>
        <item x="312"/>
        <item x="377"/>
        <item x="14"/>
        <item x="305"/>
        <item x="41"/>
        <item x="181"/>
        <item x="146"/>
        <item x="77"/>
        <item x="376"/>
        <item x="314"/>
        <item x="354"/>
        <item x="190"/>
        <item x="328"/>
        <item x="130"/>
        <item x="284"/>
        <item x="263"/>
        <item x="174"/>
        <item x="239"/>
        <item x="155"/>
        <item x="221"/>
        <item x="109"/>
        <item x="323"/>
        <item x="90"/>
        <item x="326"/>
        <item x="365"/>
        <item x="256"/>
        <item x="63"/>
        <item x="296"/>
        <item x="214"/>
        <item x="342"/>
        <item x="89"/>
        <item x="104"/>
        <item x="222"/>
        <item x="170"/>
        <item x="162"/>
        <item x="201"/>
        <item x="369"/>
        <item x="177"/>
        <item x="112"/>
        <item x="265"/>
        <item x="264"/>
        <item x="338"/>
        <item x="316"/>
        <item x="169"/>
        <item x="389"/>
        <item x="277"/>
        <item x="128"/>
        <item x="29"/>
        <item x="330"/>
        <item x="21"/>
        <item x="197"/>
        <item x="160"/>
        <item x="229"/>
        <item x="341"/>
        <item x="191"/>
        <item x="332"/>
        <item x="60"/>
        <item x="335"/>
        <item x="31"/>
        <item x="158"/>
        <item x="117"/>
        <item x="345"/>
        <item x="346"/>
        <item x="18"/>
        <item x="321"/>
        <item x="184"/>
        <item x="207"/>
        <item x="331"/>
        <item x="178"/>
        <item x="114"/>
        <item x="395"/>
        <item x="363"/>
        <item x="235"/>
        <item x="9"/>
        <item x="206"/>
        <item x="35"/>
        <item x="11"/>
        <item x="122"/>
        <item x="55"/>
        <item x="215"/>
        <item x="20"/>
        <item x="308"/>
        <item x="84"/>
        <item x="64"/>
        <item x="167"/>
        <item x="383"/>
        <item x="62"/>
        <item x="101"/>
        <item x="196"/>
        <item x="280"/>
        <item x="172"/>
        <item x="300"/>
        <item x="298"/>
        <item x="262"/>
        <item x="334"/>
        <item x="245"/>
        <item x="188"/>
        <item x="83"/>
        <item x="208"/>
        <item x="72"/>
        <item x="180"/>
        <item x="30"/>
        <item x="136"/>
        <item x="91"/>
        <item x="71"/>
        <item x="163"/>
        <item x="276"/>
        <item x="34"/>
        <item x="143"/>
        <item x="279"/>
        <item x="356"/>
        <item x="333"/>
        <item x="137"/>
        <item x="248"/>
        <item x="186"/>
        <item x="17"/>
        <item x="391"/>
        <item x="198"/>
        <item x="192"/>
        <item x="166"/>
        <item x="134"/>
        <item x="24"/>
        <item x="110"/>
        <item x="364"/>
        <item x="126"/>
        <item x="159"/>
        <item x="25"/>
        <item x="69"/>
        <item x="315"/>
        <item x="234"/>
        <item x="380"/>
        <item x="392"/>
        <item x="46"/>
        <item x="322"/>
        <item x="75"/>
        <item x="310"/>
        <item x="156"/>
        <item x="66"/>
        <item x="78"/>
        <item x="92"/>
        <item x="203"/>
        <item x="362"/>
        <item x="140"/>
        <item x="39"/>
        <item x="149"/>
        <item x="285"/>
        <item x="241"/>
        <item x="74"/>
        <item x="189"/>
        <item x="26"/>
        <item x="147"/>
        <item x="141"/>
        <item x="86"/>
        <item x="242"/>
        <item x="283"/>
        <item x="49"/>
        <item x="152"/>
        <item x="352"/>
        <item x="351"/>
        <item x="153"/>
        <item x="59"/>
        <item x="124"/>
        <item x="200"/>
        <item x="145"/>
        <item x="233"/>
        <item x="173"/>
        <item x="33"/>
        <item x="301"/>
        <item x="99"/>
        <item x="148"/>
        <item x="299"/>
        <item x="227"/>
        <item x="102"/>
        <item x="353"/>
        <item x="218"/>
        <item x="103"/>
        <item x="205"/>
        <item x="175"/>
        <item x="318"/>
        <item x="367"/>
        <item x="247"/>
        <item x="168"/>
        <item x="187"/>
        <item x="82"/>
        <item x="183"/>
        <item x="360"/>
        <item x="93"/>
        <item x="252"/>
        <item x="133"/>
        <item x="67"/>
        <item x="269"/>
        <item x="339"/>
        <item x="253"/>
        <item x="382"/>
        <item x="65"/>
        <item x="217"/>
        <item x="244"/>
        <item x="23"/>
        <item t="countA"/>
      </items>
    </pivotField>
    <pivotField showAll="0">
      <items count="9">
        <item x="6"/>
        <item x="2"/>
        <item x="5"/>
        <item x="1"/>
        <item x="7"/>
        <item x="0"/>
        <item x="3"/>
        <item x="4"/>
        <item t="default"/>
      </items>
    </pivotField>
    <pivotField showAll="0">
      <items count="9">
        <item x="3"/>
        <item x="1"/>
        <item x="6"/>
        <item x="0"/>
        <item x="5"/>
        <item x="2"/>
        <item x="7"/>
        <item x="4"/>
        <item t="default"/>
      </items>
    </pivotField>
    <pivotField showAll="0"/>
    <pivotField numFmtId="3" showAll="0"/>
    <pivotField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items count="3">
        <item x="0"/>
        <item x="1"/>
        <item t="default"/>
      </items>
    </pivotField>
    <pivotField showAll="0"/>
    <pivotField dataField="1" showAll="0"/>
  </pivotFields>
  <rowItems count="1">
    <i/>
  </rowItems>
  <colItems count="1">
    <i/>
  </colItems>
  <dataFields count="1">
    <dataField name="Average of Leave Taken" fld="12" subtotal="average" baseField="0" baseItem="0" numFmtId="164"/>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700E8-6C03-4D9F-B538-B69899C8C6E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B54:C60" firstHeaderRow="1" firstDataRow="1" firstDataCol="1"/>
  <pivotFields count="13">
    <pivotField showAll="0"/>
    <pivotField showAll="0"/>
    <pivotField showAll="0"/>
    <pivotField showAll="0">
      <items count="9">
        <item x="6"/>
        <item x="2"/>
        <item x="5"/>
        <item x="1"/>
        <item x="7"/>
        <item x="0"/>
        <item x="3"/>
        <item x="4"/>
        <item t="default"/>
      </items>
    </pivotField>
    <pivotField showAll="0">
      <items count="9">
        <item x="3"/>
        <item x="1"/>
        <item x="6"/>
        <item x="0"/>
        <item x="5"/>
        <item x="2"/>
        <item x="7"/>
        <item x="4"/>
        <item t="default"/>
      </items>
    </pivotField>
    <pivotField showAll="0"/>
    <pivotField numFmtId="3" showAll="0"/>
    <pivotField axis="axisRow" dataField="1"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items count="3">
        <item x="0"/>
        <item x="1"/>
        <item t="default"/>
      </items>
    </pivotField>
    <pivotField showAll="0"/>
    <pivotField showAll="0"/>
  </pivotFields>
  <rowFields count="1">
    <field x="7"/>
  </rowFields>
  <rowItems count="6">
    <i>
      <x/>
    </i>
    <i>
      <x v="1"/>
    </i>
    <i>
      <x v="2"/>
    </i>
    <i>
      <x v="3"/>
    </i>
    <i>
      <x v="4"/>
    </i>
    <i t="grand">
      <x/>
    </i>
  </rowItems>
  <colItems count="1">
    <i/>
  </colItems>
  <dataFields count="1">
    <dataField name="Count" fld="7" subtotal="count" baseField="7" baseItem="0"/>
  </dataFields>
  <formats count="7">
    <format dxfId="21">
      <pivotArea type="all" dataOnly="0" outline="0" fieldPosition="0"/>
    </format>
    <format dxfId="20">
      <pivotArea outline="0" collapsedLevelsAreSubtotals="1" fieldPosition="0"/>
    </format>
    <format dxfId="19">
      <pivotArea field="3" type="button" dataOnly="0" labelOnly="1" outline="0"/>
    </format>
    <format dxfId="18">
      <pivotArea dataOnly="0" labelOnly="1" grandRow="1" outline="0" fieldPosition="0"/>
    </format>
    <format dxfId="17">
      <pivotArea field="8" type="button" dataOnly="0" labelOnly="1" outline="0"/>
    </format>
    <format dxfId="16">
      <pivotArea dataOnly="0" labelOnly="1" outline="0" axis="axisValues" fieldPosition="0"/>
    </format>
    <format dxfId="15">
      <pivotArea collapsedLevelsAreSubtotals="1" fieldPosition="0">
        <references count="1">
          <reference field="7" count="0"/>
        </references>
      </pivotArea>
    </format>
  </formats>
  <chartFormats count="12">
    <chartFormat chart="57" format="0" series="1">
      <pivotArea type="data" outline="0" fieldPosition="0">
        <references count="1">
          <reference field="4294967294" count="1" selected="0">
            <x v="0"/>
          </reference>
        </references>
      </pivotArea>
    </chartFormat>
    <chartFormat chart="76" format="7" series="1">
      <pivotArea type="data" outline="0" fieldPosition="0">
        <references count="1">
          <reference field="4294967294" count="1" selected="0">
            <x v="0"/>
          </reference>
        </references>
      </pivotArea>
    </chartFormat>
    <chartFormat chart="76" format="8">
      <pivotArea type="data" outline="0" fieldPosition="0">
        <references count="2">
          <reference field="4294967294" count="1" selected="0">
            <x v="0"/>
          </reference>
          <reference field="7" count="1" selected="0">
            <x v="0"/>
          </reference>
        </references>
      </pivotArea>
    </chartFormat>
    <chartFormat chart="76" format="9">
      <pivotArea type="data" outline="0" fieldPosition="0">
        <references count="2">
          <reference field="4294967294" count="1" selected="0">
            <x v="0"/>
          </reference>
          <reference field="7" count="1" selected="0">
            <x v="1"/>
          </reference>
        </references>
      </pivotArea>
    </chartFormat>
    <chartFormat chart="76" format="10">
      <pivotArea type="data" outline="0" fieldPosition="0">
        <references count="2">
          <reference field="4294967294" count="1" selected="0">
            <x v="0"/>
          </reference>
          <reference field="7" count="1" selected="0">
            <x v="2"/>
          </reference>
        </references>
      </pivotArea>
    </chartFormat>
    <chartFormat chart="76" format="11">
      <pivotArea type="data" outline="0" fieldPosition="0">
        <references count="2">
          <reference field="4294967294" count="1" selected="0">
            <x v="0"/>
          </reference>
          <reference field="7" count="1" selected="0">
            <x v="3"/>
          </reference>
        </references>
      </pivotArea>
    </chartFormat>
    <chartFormat chart="76" format="12">
      <pivotArea type="data" outline="0" fieldPosition="0">
        <references count="2">
          <reference field="4294967294" count="1" selected="0">
            <x v="0"/>
          </reference>
          <reference field="7" count="1" selected="0">
            <x v="4"/>
          </reference>
        </references>
      </pivotArea>
    </chartFormat>
    <chartFormat chart="57" format="1">
      <pivotArea type="data" outline="0" fieldPosition="0">
        <references count="2">
          <reference field="4294967294" count="1" selected="0">
            <x v="0"/>
          </reference>
          <reference field="7" count="1" selected="0">
            <x v="0"/>
          </reference>
        </references>
      </pivotArea>
    </chartFormat>
    <chartFormat chart="57" format="2">
      <pivotArea type="data" outline="0" fieldPosition="0">
        <references count="2">
          <reference field="4294967294" count="1" selected="0">
            <x v="0"/>
          </reference>
          <reference field="7" count="1" selected="0">
            <x v="1"/>
          </reference>
        </references>
      </pivotArea>
    </chartFormat>
    <chartFormat chart="57" format="3">
      <pivotArea type="data" outline="0" fieldPosition="0">
        <references count="2">
          <reference field="4294967294" count="1" selected="0">
            <x v="0"/>
          </reference>
          <reference field="7" count="1" selected="0">
            <x v="2"/>
          </reference>
        </references>
      </pivotArea>
    </chartFormat>
    <chartFormat chart="57" format="4">
      <pivotArea type="data" outline="0" fieldPosition="0">
        <references count="2">
          <reference field="4294967294" count="1" selected="0">
            <x v="0"/>
          </reference>
          <reference field="7" count="1" selected="0">
            <x v="3"/>
          </reference>
        </references>
      </pivotArea>
    </chartFormat>
    <chartFormat chart="57"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828E1E-2441-471C-99E2-A9F277765EA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G35:G108" firstHeaderRow="1" firstDataRow="1" firstDataCol="1"/>
  <pivotFields count="13">
    <pivotField showAll="0"/>
    <pivotField showAll="0"/>
    <pivotField showAll="0"/>
    <pivotField axis="axisRow" showAll="0">
      <items count="9">
        <item x="2"/>
        <item x="5"/>
        <item x="6"/>
        <item x="1"/>
        <item x="7"/>
        <item x="0"/>
        <item x="3"/>
        <item x="4"/>
        <item t="default"/>
      </items>
    </pivotField>
    <pivotField axis="axisRow" showAll="0">
      <items count="9">
        <item x="3"/>
        <item x="1"/>
        <item x="6"/>
        <item x="0"/>
        <item x="5"/>
        <item x="2"/>
        <item x="7"/>
        <item x="4"/>
        <item t="default"/>
      </items>
    </pivotField>
    <pivotField showAll="0"/>
    <pivotField numFmtId="3" showAll="0"/>
    <pivotField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items count="3">
        <item x="0"/>
        <item x="1"/>
        <item t="default"/>
      </items>
    </pivotField>
    <pivotField showAll="0"/>
    <pivotField showAll="0"/>
  </pivotFields>
  <rowFields count="2">
    <field x="3"/>
    <field x="4"/>
  </rowFields>
  <rowItems count="73">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3"/>
    </i>
    <i r="1">
      <x v="4"/>
    </i>
    <i r="1">
      <x v="5"/>
    </i>
    <i r="1">
      <x v="6"/>
    </i>
    <i r="1">
      <x v="7"/>
    </i>
    <i>
      <x v="4"/>
    </i>
    <i r="1">
      <x/>
    </i>
    <i r="1">
      <x v="1"/>
    </i>
    <i r="1">
      <x v="2"/>
    </i>
    <i r="1">
      <x v="3"/>
    </i>
    <i r="1">
      <x v="4"/>
    </i>
    <i r="1">
      <x v="5"/>
    </i>
    <i r="1">
      <x v="6"/>
    </i>
    <i r="1">
      <x v="7"/>
    </i>
    <i>
      <x v="5"/>
    </i>
    <i r="1">
      <x/>
    </i>
    <i r="1">
      <x v="1"/>
    </i>
    <i r="1">
      <x v="2"/>
    </i>
    <i r="1">
      <x v="3"/>
    </i>
    <i r="1">
      <x v="4"/>
    </i>
    <i r="1">
      <x v="5"/>
    </i>
    <i r="1">
      <x v="6"/>
    </i>
    <i r="1">
      <x v="7"/>
    </i>
    <i>
      <x v="6"/>
    </i>
    <i r="1">
      <x/>
    </i>
    <i r="1">
      <x v="1"/>
    </i>
    <i r="1">
      <x v="2"/>
    </i>
    <i r="1">
      <x v="3"/>
    </i>
    <i r="1">
      <x v="4"/>
    </i>
    <i r="1">
      <x v="5"/>
    </i>
    <i r="1">
      <x v="6"/>
    </i>
    <i r="1">
      <x v="7"/>
    </i>
    <i>
      <x v="7"/>
    </i>
    <i r="1">
      <x/>
    </i>
    <i r="1">
      <x v="1"/>
    </i>
    <i r="1">
      <x v="2"/>
    </i>
    <i r="1">
      <x v="3"/>
    </i>
    <i r="1">
      <x v="4"/>
    </i>
    <i r="1">
      <x v="5"/>
    </i>
    <i r="1">
      <x v="6"/>
    </i>
    <i r="1">
      <x v="7"/>
    </i>
    <i t="grand">
      <x/>
    </i>
  </rowItems>
  <colItems count="1">
    <i/>
  </colItems>
  <formats count="6">
    <format dxfId="27">
      <pivotArea type="all" dataOnly="0" outline="0" fieldPosition="0"/>
    </format>
    <format dxfId="26">
      <pivotArea outline="0" collapsedLevelsAreSubtotals="1" fieldPosition="0"/>
    </format>
    <format dxfId="25">
      <pivotArea field="3" type="button" dataOnly="0" labelOnly="1" outline="0" axis="axisRow" fieldPosition="0"/>
    </format>
    <format dxfId="24">
      <pivotArea dataOnly="0" labelOnly="1" grandRow="1" outline="0" fieldPosition="0"/>
    </format>
    <format dxfId="23">
      <pivotArea field="8" type="button" dataOnly="0" labelOnly="1" outline="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394F78-7F16-4F72-BCE6-6EBA63E81C2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2" firstHeaderRow="1" firstDataRow="1" firstDataCol="1"/>
  <pivotFields count="13">
    <pivotField showAll="0"/>
    <pivotField showAll="0"/>
    <pivotField showAll="0"/>
    <pivotField showAll="0">
      <items count="9">
        <item x="6"/>
        <item x="2"/>
        <item x="5"/>
        <item x="1"/>
        <item x="7"/>
        <item x="0"/>
        <item x="3"/>
        <item x="4"/>
        <item t="default"/>
      </items>
    </pivotField>
    <pivotField axis="axisRow" showAll="0">
      <items count="9">
        <item x="3"/>
        <item x="1"/>
        <item x="6"/>
        <item x="0"/>
        <item x="5"/>
        <item x="2"/>
        <item x="7"/>
        <item x="4"/>
        <item t="default"/>
      </items>
    </pivotField>
    <pivotField showAll="0"/>
    <pivotField numFmtId="3" showAll="0"/>
    <pivotField showAll="0">
      <items count="6">
        <item x="0"/>
        <item x="1"/>
        <item x="2"/>
        <item x="3"/>
        <item x="4"/>
        <item t="default"/>
      </items>
    </pivotField>
    <pivotField showAll="0">
      <items count="13">
        <item x="9"/>
        <item x="10"/>
        <item x="11"/>
        <item x="0"/>
        <item x="1"/>
        <item x="2"/>
        <item x="3"/>
        <item x="4"/>
        <item x="5"/>
        <item x="6"/>
        <item x="7"/>
        <item x="8"/>
        <item t="default"/>
      </items>
    </pivotField>
    <pivotField dataField="1" showAll="0"/>
    <pivotField showAll="0">
      <items count="3">
        <item x="0"/>
        <item x="1"/>
        <item t="default"/>
      </items>
    </pivotField>
    <pivotField showAll="0"/>
    <pivotField showAll="0"/>
  </pivotFields>
  <rowFields count="1">
    <field x="4"/>
  </rowFields>
  <rowItems count="9">
    <i>
      <x/>
    </i>
    <i>
      <x v="1"/>
    </i>
    <i>
      <x v="2"/>
    </i>
    <i>
      <x v="3"/>
    </i>
    <i>
      <x v="4"/>
    </i>
    <i>
      <x v="5"/>
    </i>
    <i>
      <x v="6"/>
    </i>
    <i>
      <x v="7"/>
    </i>
    <i t="grand">
      <x/>
    </i>
  </rowItems>
  <colItems count="1">
    <i/>
  </colItems>
  <dataFields count="1">
    <dataField name="Sum of Years of Experience" fld="9"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CC2E0E-4D4A-48DD-8F57-2F119D464F6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O66:O67" firstHeaderRow="1" firstDataRow="1" firstDataCol="0"/>
  <pivotFields count="13">
    <pivotField showAll="0"/>
    <pivotField showAll="0"/>
    <pivotField showAll="0" countASubtotal="1">
      <items count="400">
        <item x="311"/>
        <item x="47"/>
        <item x="294"/>
        <item x="36"/>
        <item x="0"/>
        <item x="54"/>
        <item x="79"/>
        <item x="135"/>
        <item x="251"/>
        <item x="304"/>
        <item x="97"/>
        <item x="261"/>
        <item x="123"/>
        <item x="286"/>
        <item x="281"/>
        <item x="125"/>
        <item x="378"/>
        <item x="358"/>
        <item x="139"/>
        <item x="80"/>
        <item x="255"/>
        <item x="273"/>
        <item x="10"/>
        <item x="51"/>
        <item x="343"/>
        <item x="165"/>
        <item x="366"/>
        <item x="348"/>
        <item x="194"/>
        <item x="61"/>
        <item x="309"/>
        <item x="347"/>
        <item x="120"/>
        <item x="250"/>
        <item x="396"/>
        <item x="274"/>
        <item x="313"/>
        <item x="7"/>
        <item x="182"/>
        <item x="373"/>
        <item x="28"/>
        <item x="76"/>
        <item x="185"/>
        <item x="121"/>
        <item x="58"/>
        <item x="216"/>
        <item x="231"/>
        <item x="98"/>
        <item x="223"/>
        <item x="370"/>
        <item x="53"/>
        <item x="340"/>
        <item x="307"/>
        <item x="282"/>
        <item x="388"/>
        <item x="38"/>
        <item x="325"/>
        <item x="116"/>
        <item x="52"/>
        <item x="4"/>
        <item x="249"/>
        <item x="68"/>
        <item x="5"/>
        <item x="220"/>
        <item x="384"/>
        <item x="317"/>
        <item x="295"/>
        <item x="16"/>
        <item x="238"/>
        <item x="13"/>
        <item x="32"/>
        <item x="336"/>
        <item x="132"/>
        <item x="327"/>
        <item x="372"/>
        <item x="3"/>
        <item x="131"/>
        <item x="176"/>
        <item x="398"/>
        <item x="228"/>
        <item x="87"/>
        <item x="6"/>
        <item x="15"/>
        <item x="73"/>
        <item x="350"/>
        <item x="319"/>
        <item x="118"/>
        <item x="240"/>
        <item x="271"/>
        <item x="19"/>
        <item x="199"/>
        <item x="179"/>
        <item x="355"/>
        <item x="232"/>
        <item x="127"/>
        <item x="219"/>
        <item x="381"/>
        <item x="105"/>
        <item x="349"/>
        <item x="268"/>
        <item x="100"/>
        <item x="157"/>
        <item x="270"/>
        <item x="212"/>
        <item x="368"/>
        <item x="236"/>
        <item x="96"/>
        <item x="129"/>
        <item x="225"/>
        <item x="151"/>
        <item x="193"/>
        <item x="306"/>
        <item x="390"/>
        <item x="293"/>
        <item x="115"/>
        <item x="56"/>
        <item x="85"/>
        <item x="374"/>
        <item x="94"/>
        <item x="359"/>
        <item x="302"/>
        <item x="50"/>
        <item x="22"/>
        <item x="237"/>
        <item x="375"/>
        <item x="394"/>
        <item x="195"/>
        <item x="272"/>
        <item x="204"/>
        <item x="45"/>
        <item x="288"/>
        <item x="81"/>
        <item x="57"/>
        <item x="357"/>
        <item x="95"/>
        <item x="37"/>
        <item x="361"/>
        <item x="42"/>
        <item x="397"/>
        <item x="324"/>
        <item x="344"/>
        <item x="43"/>
        <item x="267"/>
        <item x="254"/>
        <item x="119"/>
        <item x="260"/>
        <item x="213"/>
        <item x="320"/>
        <item x="291"/>
        <item x="275"/>
        <item x="385"/>
        <item x="154"/>
        <item x="108"/>
        <item x="303"/>
        <item x="289"/>
        <item x="12"/>
        <item x="88"/>
        <item x="171"/>
        <item x="202"/>
        <item x="246"/>
        <item x="113"/>
        <item x="287"/>
        <item x="138"/>
        <item x="1"/>
        <item x="371"/>
        <item x="70"/>
        <item x="164"/>
        <item x="211"/>
        <item x="8"/>
        <item x="292"/>
        <item x="48"/>
        <item x="40"/>
        <item x="230"/>
        <item x="258"/>
        <item x="209"/>
        <item x="257"/>
        <item x="278"/>
        <item x="144"/>
        <item x="44"/>
        <item x="27"/>
        <item x="386"/>
        <item x="210"/>
        <item x="379"/>
        <item x="226"/>
        <item x="387"/>
        <item x="337"/>
        <item x="106"/>
        <item x="259"/>
        <item x="266"/>
        <item x="243"/>
        <item x="107"/>
        <item x="150"/>
        <item x="329"/>
        <item x="297"/>
        <item x="142"/>
        <item x="290"/>
        <item x="2"/>
        <item x="111"/>
        <item x="393"/>
        <item x="161"/>
        <item x="224"/>
        <item x="312"/>
        <item x="377"/>
        <item x="14"/>
        <item x="305"/>
        <item x="41"/>
        <item x="181"/>
        <item x="146"/>
        <item x="77"/>
        <item x="376"/>
        <item x="314"/>
        <item x="354"/>
        <item x="190"/>
        <item x="328"/>
        <item x="130"/>
        <item x="284"/>
        <item x="263"/>
        <item x="174"/>
        <item x="239"/>
        <item x="155"/>
        <item x="221"/>
        <item x="109"/>
        <item x="323"/>
        <item x="90"/>
        <item x="326"/>
        <item x="365"/>
        <item x="256"/>
        <item x="63"/>
        <item x="296"/>
        <item x="214"/>
        <item x="342"/>
        <item x="89"/>
        <item x="104"/>
        <item x="222"/>
        <item x="170"/>
        <item x="162"/>
        <item x="201"/>
        <item x="369"/>
        <item x="177"/>
        <item x="112"/>
        <item x="265"/>
        <item x="264"/>
        <item x="338"/>
        <item x="316"/>
        <item x="169"/>
        <item x="389"/>
        <item x="277"/>
        <item x="128"/>
        <item x="29"/>
        <item x="330"/>
        <item x="21"/>
        <item x="197"/>
        <item x="160"/>
        <item x="229"/>
        <item x="341"/>
        <item x="191"/>
        <item x="332"/>
        <item x="60"/>
        <item x="335"/>
        <item x="31"/>
        <item x="158"/>
        <item x="117"/>
        <item x="345"/>
        <item x="346"/>
        <item x="18"/>
        <item x="321"/>
        <item x="184"/>
        <item x="207"/>
        <item x="331"/>
        <item x="178"/>
        <item x="114"/>
        <item x="395"/>
        <item x="363"/>
        <item x="235"/>
        <item x="9"/>
        <item x="206"/>
        <item x="35"/>
        <item x="11"/>
        <item x="122"/>
        <item x="55"/>
        <item x="215"/>
        <item x="20"/>
        <item x="308"/>
        <item x="84"/>
        <item x="64"/>
        <item x="167"/>
        <item x="383"/>
        <item x="62"/>
        <item x="101"/>
        <item x="196"/>
        <item x="280"/>
        <item x="172"/>
        <item x="300"/>
        <item x="298"/>
        <item x="262"/>
        <item x="334"/>
        <item x="245"/>
        <item x="188"/>
        <item x="83"/>
        <item x="208"/>
        <item x="72"/>
        <item x="180"/>
        <item x="30"/>
        <item x="136"/>
        <item x="91"/>
        <item x="71"/>
        <item x="163"/>
        <item x="276"/>
        <item x="34"/>
        <item x="143"/>
        <item x="279"/>
        <item x="356"/>
        <item x="333"/>
        <item x="137"/>
        <item x="248"/>
        <item x="186"/>
        <item x="17"/>
        <item x="391"/>
        <item x="198"/>
        <item x="192"/>
        <item x="166"/>
        <item x="134"/>
        <item x="24"/>
        <item x="110"/>
        <item x="364"/>
        <item x="126"/>
        <item x="159"/>
        <item x="25"/>
        <item x="69"/>
        <item x="315"/>
        <item x="234"/>
        <item x="380"/>
        <item x="392"/>
        <item x="46"/>
        <item x="322"/>
        <item x="75"/>
        <item x="310"/>
        <item x="156"/>
        <item x="66"/>
        <item x="78"/>
        <item x="92"/>
        <item x="203"/>
        <item x="362"/>
        <item x="140"/>
        <item x="39"/>
        <item x="149"/>
        <item x="285"/>
        <item x="241"/>
        <item x="74"/>
        <item x="189"/>
        <item x="26"/>
        <item x="147"/>
        <item x="141"/>
        <item x="86"/>
        <item x="242"/>
        <item x="283"/>
        <item x="49"/>
        <item x="152"/>
        <item x="352"/>
        <item x="351"/>
        <item x="153"/>
        <item x="59"/>
        <item x="124"/>
        <item x="200"/>
        <item x="145"/>
        <item x="233"/>
        <item x="173"/>
        <item x="33"/>
        <item x="301"/>
        <item x="99"/>
        <item x="148"/>
        <item x="299"/>
        <item x="227"/>
        <item x="102"/>
        <item x="353"/>
        <item x="218"/>
        <item x="103"/>
        <item x="205"/>
        <item x="175"/>
        <item x="318"/>
        <item x="367"/>
        <item x="247"/>
        <item x="168"/>
        <item x="187"/>
        <item x="82"/>
        <item x="183"/>
        <item x="360"/>
        <item x="93"/>
        <item x="252"/>
        <item x="133"/>
        <item x="67"/>
        <item x="269"/>
        <item x="339"/>
        <item x="253"/>
        <item x="382"/>
        <item x="65"/>
        <item x="217"/>
        <item x="244"/>
        <item x="23"/>
        <item t="countA"/>
      </items>
    </pivotField>
    <pivotField showAll="0">
      <items count="9">
        <item x="6"/>
        <item x="2"/>
        <item x="5"/>
        <item x="1"/>
        <item x="7"/>
        <item x="0"/>
        <item x="3"/>
        <item x="4"/>
        <item t="default"/>
      </items>
    </pivotField>
    <pivotField showAll="0">
      <items count="9">
        <item x="3"/>
        <item x="1"/>
        <item x="6"/>
        <item x="0"/>
        <item x="5"/>
        <item x="2"/>
        <item x="7"/>
        <item x="4"/>
        <item t="default"/>
      </items>
    </pivotField>
    <pivotField showAll="0"/>
    <pivotField dataField="1" numFmtId="3" showAll="0"/>
    <pivotField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items count="3">
        <item x="0"/>
        <item x="1"/>
        <item t="default"/>
      </items>
    </pivotField>
    <pivotField showAll="0"/>
    <pivotField showAll="0"/>
  </pivotFields>
  <rowItems count="1">
    <i/>
  </rowItems>
  <colItems count="1">
    <i/>
  </colItems>
  <dataFields count="1">
    <dataField name="Average of Salary (₹)" fld="6" subtotal="average" baseField="0" baseItem="0" numFmtId="3"/>
  </dataFields>
  <formats count="6">
    <format dxfId="33">
      <pivotArea type="all" dataOnly="0" outline="0" fieldPosition="0"/>
    </format>
    <format dxfId="32">
      <pivotArea field="3" type="button" dataOnly="0" labelOnly="1" outline="0"/>
    </format>
    <format dxfId="31">
      <pivotArea dataOnly="0" labelOnly="1" grandRow="1" outline="0" fieldPosition="0"/>
    </format>
    <format dxfId="30">
      <pivotArea field="8" type="button" dataOnly="0" labelOnly="1" outline="0"/>
    </format>
    <format dxfId="29">
      <pivotArea dataOnly="0" labelOnly="1" outline="0" axis="axisValues"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929645-C863-4493-AF68-D196DD5A1A2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Y17:Z30" firstHeaderRow="1" firstDataRow="1" firstDataCol="1"/>
  <pivotFields count="13">
    <pivotField showAll="0"/>
    <pivotField showAll="0"/>
    <pivotField showAll="0"/>
    <pivotField showAll="0">
      <items count="9">
        <item x="6"/>
        <item x="2"/>
        <item x="5"/>
        <item x="1"/>
        <item x="7"/>
        <item x="0"/>
        <item x="3"/>
        <item x="4"/>
        <item t="default"/>
      </items>
    </pivotField>
    <pivotField showAll="0">
      <items count="9">
        <item x="3"/>
        <item x="1"/>
        <item x="6"/>
        <item x="0"/>
        <item x="5"/>
        <item x="2"/>
        <item x="7"/>
        <item x="4"/>
        <item t="default"/>
      </items>
    </pivotField>
    <pivotField showAll="0"/>
    <pivotField numFmtId="3" showAll="0"/>
    <pivotField showAll="0">
      <items count="6">
        <item x="0"/>
        <item x="1"/>
        <item x="2"/>
        <item x="3"/>
        <item x="4"/>
        <item t="default"/>
      </items>
    </pivotField>
    <pivotField axis="axisRow" dataField="1" showAll="0">
      <items count="13">
        <item x="9"/>
        <item x="10"/>
        <item x="11"/>
        <item x="0"/>
        <item x="1"/>
        <item x="2"/>
        <item x="3"/>
        <item x="4"/>
        <item x="5"/>
        <item x="6"/>
        <item x="7"/>
        <item x="8"/>
        <item t="default"/>
      </items>
    </pivotField>
    <pivotField showAll="0"/>
    <pivotField showAll="0">
      <items count="3">
        <item x="0"/>
        <item x="1"/>
        <item t="default"/>
      </items>
    </pivotField>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Count of Joining Month" fld="8" subtotal="count" baseField="0" baseItem="0"/>
  </dataFields>
  <formats count="9">
    <format dxfId="42">
      <pivotArea type="all" dataOnly="0" outline="0" fieldPosition="0"/>
    </format>
    <format dxfId="41">
      <pivotArea outline="0" collapsedLevelsAreSubtotals="1" fieldPosition="0"/>
    </format>
    <format dxfId="40">
      <pivotArea field="3" type="button" dataOnly="0" labelOnly="1" outline="0"/>
    </format>
    <format dxfId="39">
      <pivotArea dataOnly="0" labelOnly="1" grandRow="1" outline="0" fieldPosition="0"/>
    </format>
    <format dxfId="38">
      <pivotArea collapsedLevelsAreSubtotals="1" fieldPosition="0">
        <references count="1">
          <reference field="8" count="9">
            <x v="0"/>
            <x v="1"/>
            <x v="2"/>
            <x v="3"/>
            <x v="4"/>
            <x v="5"/>
            <x v="6"/>
            <x v="7"/>
            <x v="8"/>
          </reference>
        </references>
      </pivotArea>
    </format>
    <format dxfId="37">
      <pivotArea field="8" type="button" dataOnly="0" labelOnly="1" outline="0" axis="axisRow" fieldPosition="0"/>
    </format>
    <format dxfId="36">
      <pivotArea dataOnly="0" labelOnly="1" fieldPosition="0">
        <references count="1">
          <reference field="8" count="9">
            <x v="0"/>
            <x v="1"/>
            <x v="2"/>
            <x v="3"/>
            <x v="4"/>
            <x v="5"/>
            <x v="6"/>
            <x v="7"/>
            <x v="8"/>
          </reference>
        </references>
      </pivotArea>
    </format>
    <format dxfId="35">
      <pivotArea dataOnly="0" labelOnly="1" outline="0" axis="axisValues" fieldPosition="0"/>
    </format>
    <format dxfId="34">
      <pivotArea collapsedLevelsAreSubtotals="1" fieldPosition="0">
        <references count="1">
          <reference field="8" count="3">
            <x v="9"/>
            <x v="10"/>
            <x v="11"/>
          </reference>
        </references>
      </pivotArea>
    </format>
  </formats>
  <chartFormats count="3">
    <chartFormat chart="45"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DCC018-858C-45D7-B90B-C4A85D01228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T73:T76" firstHeaderRow="1" firstDataRow="1" firstDataCol="1"/>
  <pivotFields count="13">
    <pivotField showAll="0"/>
    <pivotField showAll="0"/>
    <pivotField showAll="0" countASubtotal="1">
      <items count="400">
        <item x="311"/>
        <item x="47"/>
        <item x="294"/>
        <item x="36"/>
        <item x="0"/>
        <item x="54"/>
        <item x="79"/>
        <item x="135"/>
        <item x="251"/>
        <item x="304"/>
        <item x="97"/>
        <item x="261"/>
        <item x="123"/>
        <item x="286"/>
        <item x="281"/>
        <item x="125"/>
        <item x="378"/>
        <item x="358"/>
        <item x="139"/>
        <item x="80"/>
        <item x="255"/>
        <item x="273"/>
        <item x="10"/>
        <item x="51"/>
        <item x="343"/>
        <item x="165"/>
        <item x="366"/>
        <item x="348"/>
        <item x="194"/>
        <item x="61"/>
        <item x="309"/>
        <item x="347"/>
        <item x="120"/>
        <item x="250"/>
        <item x="396"/>
        <item x="274"/>
        <item x="313"/>
        <item x="7"/>
        <item x="182"/>
        <item x="373"/>
        <item x="28"/>
        <item x="76"/>
        <item x="185"/>
        <item x="121"/>
        <item x="58"/>
        <item x="216"/>
        <item x="231"/>
        <item x="98"/>
        <item x="223"/>
        <item x="370"/>
        <item x="53"/>
        <item x="340"/>
        <item x="307"/>
        <item x="282"/>
        <item x="388"/>
        <item x="38"/>
        <item x="325"/>
        <item x="116"/>
        <item x="52"/>
        <item x="4"/>
        <item x="249"/>
        <item x="68"/>
        <item x="5"/>
        <item x="220"/>
        <item x="384"/>
        <item x="317"/>
        <item x="295"/>
        <item x="16"/>
        <item x="238"/>
        <item x="13"/>
        <item x="32"/>
        <item x="336"/>
        <item x="132"/>
        <item x="327"/>
        <item x="372"/>
        <item x="3"/>
        <item x="131"/>
        <item x="176"/>
        <item x="398"/>
        <item x="228"/>
        <item x="87"/>
        <item x="6"/>
        <item x="15"/>
        <item x="73"/>
        <item x="350"/>
        <item x="319"/>
        <item x="118"/>
        <item x="240"/>
        <item x="271"/>
        <item x="19"/>
        <item x="199"/>
        <item x="179"/>
        <item x="355"/>
        <item x="232"/>
        <item x="127"/>
        <item x="219"/>
        <item x="381"/>
        <item x="105"/>
        <item x="349"/>
        <item x="268"/>
        <item x="100"/>
        <item x="157"/>
        <item x="270"/>
        <item x="212"/>
        <item x="368"/>
        <item x="236"/>
        <item x="96"/>
        <item x="129"/>
        <item x="225"/>
        <item x="151"/>
        <item x="193"/>
        <item x="306"/>
        <item x="390"/>
        <item x="293"/>
        <item x="115"/>
        <item x="56"/>
        <item x="85"/>
        <item x="374"/>
        <item x="94"/>
        <item x="359"/>
        <item x="302"/>
        <item x="50"/>
        <item x="22"/>
        <item x="237"/>
        <item x="375"/>
        <item x="394"/>
        <item x="195"/>
        <item x="272"/>
        <item x="204"/>
        <item x="45"/>
        <item x="288"/>
        <item x="81"/>
        <item x="57"/>
        <item x="357"/>
        <item x="95"/>
        <item x="37"/>
        <item x="361"/>
        <item x="42"/>
        <item x="397"/>
        <item x="324"/>
        <item x="344"/>
        <item x="43"/>
        <item x="267"/>
        <item x="254"/>
        <item x="119"/>
        <item x="260"/>
        <item x="213"/>
        <item x="320"/>
        <item x="291"/>
        <item x="275"/>
        <item x="385"/>
        <item x="154"/>
        <item x="108"/>
        <item x="303"/>
        <item x="289"/>
        <item x="12"/>
        <item x="88"/>
        <item x="171"/>
        <item x="202"/>
        <item x="246"/>
        <item x="113"/>
        <item x="287"/>
        <item x="138"/>
        <item x="1"/>
        <item x="371"/>
        <item x="70"/>
        <item x="164"/>
        <item x="211"/>
        <item x="8"/>
        <item x="292"/>
        <item x="48"/>
        <item x="40"/>
        <item x="230"/>
        <item x="258"/>
        <item x="209"/>
        <item x="257"/>
        <item x="278"/>
        <item x="144"/>
        <item x="44"/>
        <item x="27"/>
        <item x="386"/>
        <item x="210"/>
        <item x="379"/>
        <item x="226"/>
        <item x="387"/>
        <item x="337"/>
        <item x="106"/>
        <item x="259"/>
        <item x="266"/>
        <item x="243"/>
        <item x="107"/>
        <item x="150"/>
        <item x="329"/>
        <item x="297"/>
        <item x="142"/>
        <item x="290"/>
        <item x="2"/>
        <item x="111"/>
        <item x="393"/>
        <item x="161"/>
        <item x="224"/>
        <item x="312"/>
        <item x="377"/>
        <item x="14"/>
        <item x="305"/>
        <item x="41"/>
        <item x="181"/>
        <item x="146"/>
        <item x="77"/>
        <item x="376"/>
        <item x="314"/>
        <item x="354"/>
        <item x="190"/>
        <item x="328"/>
        <item x="130"/>
        <item x="284"/>
        <item x="263"/>
        <item x="174"/>
        <item x="239"/>
        <item x="155"/>
        <item x="221"/>
        <item x="109"/>
        <item x="323"/>
        <item x="90"/>
        <item x="326"/>
        <item x="365"/>
        <item x="256"/>
        <item x="63"/>
        <item x="296"/>
        <item x="214"/>
        <item x="342"/>
        <item x="89"/>
        <item x="104"/>
        <item x="222"/>
        <item x="170"/>
        <item x="162"/>
        <item x="201"/>
        <item x="369"/>
        <item x="177"/>
        <item x="112"/>
        <item x="265"/>
        <item x="264"/>
        <item x="338"/>
        <item x="316"/>
        <item x="169"/>
        <item x="389"/>
        <item x="277"/>
        <item x="128"/>
        <item x="29"/>
        <item x="330"/>
        <item x="21"/>
        <item x="197"/>
        <item x="160"/>
        <item x="229"/>
        <item x="341"/>
        <item x="191"/>
        <item x="332"/>
        <item x="60"/>
        <item x="335"/>
        <item x="31"/>
        <item x="158"/>
        <item x="117"/>
        <item x="345"/>
        <item x="346"/>
        <item x="18"/>
        <item x="321"/>
        <item x="184"/>
        <item x="207"/>
        <item x="331"/>
        <item x="178"/>
        <item x="114"/>
        <item x="395"/>
        <item x="363"/>
        <item x="235"/>
        <item x="9"/>
        <item x="206"/>
        <item x="35"/>
        <item x="11"/>
        <item x="122"/>
        <item x="55"/>
        <item x="215"/>
        <item x="20"/>
        <item x="308"/>
        <item x="84"/>
        <item x="64"/>
        <item x="167"/>
        <item x="383"/>
        <item x="62"/>
        <item x="101"/>
        <item x="196"/>
        <item x="280"/>
        <item x="172"/>
        <item x="300"/>
        <item x="298"/>
        <item x="262"/>
        <item x="334"/>
        <item x="245"/>
        <item x="188"/>
        <item x="83"/>
        <item x="208"/>
        <item x="72"/>
        <item x="180"/>
        <item x="30"/>
        <item x="136"/>
        <item x="91"/>
        <item x="71"/>
        <item x="163"/>
        <item x="276"/>
        <item x="34"/>
        <item x="143"/>
        <item x="279"/>
        <item x="356"/>
        <item x="333"/>
        <item x="137"/>
        <item x="248"/>
        <item x="186"/>
        <item x="17"/>
        <item x="391"/>
        <item x="198"/>
        <item x="192"/>
        <item x="166"/>
        <item x="134"/>
        <item x="24"/>
        <item x="110"/>
        <item x="364"/>
        <item x="126"/>
        <item x="159"/>
        <item x="25"/>
        <item x="69"/>
        <item x="315"/>
        <item x="234"/>
        <item x="380"/>
        <item x="392"/>
        <item x="46"/>
        <item x="322"/>
        <item x="75"/>
        <item x="310"/>
        <item x="156"/>
        <item x="66"/>
        <item x="78"/>
        <item x="92"/>
        <item x="203"/>
        <item x="362"/>
        <item x="140"/>
        <item x="39"/>
        <item x="149"/>
        <item x="285"/>
        <item x="241"/>
        <item x="74"/>
        <item x="189"/>
        <item x="26"/>
        <item x="147"/>
        <item x="141"/>
        <item x="86"/>
        <item x="242"/>
        <item x="283"/>
        <item x="49"/>
        <item x="152"/>
        <item x="352"/>
        <item x="351"/>
        <item x="153"/>
        <item x="59"/>
        <item x="124"/>
        <item x="200"/>
        <item x="145"/>
        <item x="233"/>
        <item x="173"/>
        <item x="33"/>
        <item x="301"/>
        <item x="99"/>
        <item x="148"/>
        <item x="299"/>
        <item x="227"/>
        <item x="102"/>
        <item x="353"/>
        <item x="218"/>
        <item x="103"/>
        <item x="205"/>
        <item x="175"/>
        <item x="318"/>
        <item x="367"/>
        <item x="247"/>
        <item x="168"/>
        <item x="187"/>
        <item x="82"/>
        <item x="183"/>
        <item x="360"/>
        <item x="93"/>
        <item x="252"/>
        <item x="133"/>
        <item x="67"/>
        <item x="269"/>
        <item x="339"/>
        <item x="253"/>
        <item x="382"/>
        <item x="65"/>
        <item x="217"/>
        <item x="244"/>
        <item x="23"/>
        <item t="countA"/>
      </items>
    </pivotField>
    <pivotField showAll="0">
      <items count="9">
        <item x="6"/>
        <item x="2"/>
        <item x="5"/>
        <item x="1"/>
        <item x="7"/>
        <item x="0"/>
        <item x="3"/>
        <item x="4"/>
        <item t="default"/>
      </items>
    </pivotField>
    <pivotField showAll="0">
      <items count="9">
        <item x="3"/>
        <item x="1"/>
        <item x="6"/>
        <item x="0"/>
        <item x="5"/>
        <item x="2"/>
        <item x="7"/>
        <item x="4"/>
        <item t="default"/>
      </items>
    </pivotField>
    <pivotField showAll="0"/>
    <pivotField numFmtId="3" showAll="0"/>
    <pivotField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axis="axisRow" showAll="0">
      <items count="3">
        <item x="0"/>
        <item x="1"/>
        <item t="default"/>
      </items>
    </pivotField>
    <pivotField showAll="0"/>
    <pivotField showAll="0"/>
  </pivotFields>
  <rowFields count="1">
    <field x="10"/>
  </rowFields>
  <rowItems count="3">
    <i>
      <x/>
    </i>
    <i>
      <x v="1"/>
    </i>
    <i t="grand">
      <x/>
    </i>
  </rowItems>
  <colItems count="1">
    <i/>
  </colItems>
  <formats count="3">
    <format dxfId="45">
      <pivotArea type="all" dataOnly="0" outline="0" fieldPosition="0"/>
    </format>
    <format dxfId="44">
      <pivotArea outline="0" collapsedLevelsAreSubtotals="1" fieldPosition="0"/>
    </format>
    <format dxfId="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D3C9D6-3437-4DEC-9095-670EEE6A818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E44:F50" firstHeaderRow="1" firstDataRow="1" firstDataCol="1"/>
  <pivotFields count="13">
    <pivotField showAll="0"/>
    <pivotField showAll="0"/>
    <pivotField showAll="0"/>
    <pivotField showAll="0">
      <items count="9">
        <item x="6"/>
        <item x="2"/>
        <item x="5"/>
        <item x="1"/>
        <item x="7"/>
        <item x="0"/>
        <item x="3"/>
        <item x="4"/>
        <item t="default"/>
      </items>
    </pivotField>
    <pivotField showAll="0">
      <items count="9">
        <item x="3"/>
        <item x="1"/>
        <item x="6"/>
        <item x="0"/>
        <item x="5"/>
        <item x="2"/>
        <item x="7"/>
        <item x="4"/>
        <item t="default"/>
      </items>
    </pivotField>
    <pivotField showAll="0"/>
    <pivotField numFmtId="3" showAll="0"/>
    <pivotField axis="axisRow" dataField="1"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items count="3">
        <item x="0"/>
        <item x="1"/>
        <item t="default"/>
      </items>
    </pivotField>
    <pivotField showAll="0"/>
    <pivotField showAll="0"/>
  </pivotFields>
  <rowFields count="1">
    <field x="7"/>
  </rowFields>
  <rowItems count="6">
    <i>
      <x/>
    </i>
    <i>
      <x v="1"/>
    </i>
    <i>
      <x v="2"/>
    </i>
    <i>
      <x v="3"/>
    </i>
    <i>
      <x v="4"/>
    </i>
    <i t="grand">
      <x/>
    </i>
  </rowItems>
  <colItems count="1">
    <i/>
  </colItems>
  <dataFields count="1">
    <dataField name="Count" fld="7" subtotal="count" baseField="7" baseItem="0"/>
  </dataFields>
  <formats count="7">
    <format dxfId="52">
      <pivotArea type="all" dataOnly="0" outline="0" fieldPosition="0"/>
    </format>
    <format dxfId="51">
      <pivotArea outline="0" collapsedLevelsAreSubtotals="1" fieldPosition="0"/>
    </format>
    <format dxfId="50">
      <pivotArea field="3" type="button" dataOnly="0" labelOnly="1" outline="0"/>
    </format>
    <format dxfId="49">
      <pivotArea dataOnly="0" labelOnly="1" grandRow="1" outline="0" fieldPosition="0"/>
    </format>
    <format dxfId="48">
      <pivotArea field="8" type="button" dataOnly="0" labelOnly="1" outline="0"/>
    </format>
    <format dxfId="47">
      <pivotArea dataOnly="0" labelOnly="1" outline="0" axis="axisValues" fieldPosition="0"/>
    </format>
    <format dxfId="46">
      <pivotArea collapsedLevelsAreSubtotals="1" fieldPosition="0">
        <references count="1">
          <reference field="7" count="0"/>
        </references>
      </pivotArea>
    </format>
  </formats>
  <chartFormats count="7">
    <chartFormat chart="57" format="0" series="1">
      <pivotArea type="data" outline="0" fieldPosition="0">
        <references count="1">
          <reference field="4294967294" count="1" selected="0">
            <x v="0"/>
          </reference>
        </references>
      </pivotArea>
    </chartFormat>
    <chartFormat chart="76" format="7" series="1">
      <pivotArea type="data" outline="0" fieldPosition="0">
        <references count="1">
          <reference field="4294967294" count="1" selected="0">
            <x v="0"/>
          </reference>
        </references>
      </pivotArea>
    </chartFormat>
    <chartFormat chart="76" format="8">
      <pivotArea type="data" outline="0" fieldPosition="0">
        <references count="2">
          <reference field="4294967294" count="1" selected="0">
            <x v="0"/>
          </reference>
          <reference field="7" count="1" selected="0">
            <x v="0"/>
          </reference>
        </references>
      </pivotArea>
    </chartFormat>
    <chartFormat chart="76" format="9">
      <pivotArea type="data" outline="0" fieldPosition="0">
        <references count="2">
          <reference field="4294967294" count="1" selected="0">
            <x v="0"/>
          </reference>
          <reference field="7" count="1" selected="0">
            <x v="1"/>
          </reference>
        </references>
      </pivotArea>
    </chartFormat>
    <chartFormat chart="76" format="10">
      <pivotArea type="data" outline="0" fieldPosition="0">
        <references count="2">
          <reference field="4294967294" count="1" selected="0">
            <x v="0"/>
          </reference>
          <reference field="7" count="1" selected="0">
            <x v="2"/>
          </reference>
        </references>
      </pivotArea>
    </chartFormat>
    <chartFormat chart="76" format="11">
      <pivotArea type="data" outline="0" fieldPosition="0">
        <references count="2">
          <reference field="4294967294" count="1" selected="0">
            <x v="0"/>
          </reference>
          <reference field="7" count="1" selected="0">
            <x v="3"/>
          </reference>
        </references>
      </pivotArea>
    </chartFormat>
    <chartFormat chart="76"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00CC42-536E-4014-B7D9-33D2D6ADA0E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R78:R91" firstHeaderRow="1" firstDataRow="1" firstDataCol="1"/>
  <pivotFields count="13">
    <pivotField showAll="0"/>
    <pivotField showAll="0"/>
    <pivotField showAll="0" countASubtotal="1">
      <items count="400">
        <item x="311"/>
        <item x="47"/>
        <item x="294"/>
        <item x="36"/>
        <item x="0"/>
        <item x="54"/>
        <item x="79"/>
        <item x="135"/>
        <item x="251"/>
        <item x="304"/>
        <item x="97"/>
        <item x="261"/>
        <item x="123"/>
        <item x="286"/>
        <item x="281"/>
        <item x="125"/>
        <item x="378"/>
        <item x="358"/>
        <item x="139"/>
        <item x="80"/>
        <item x="255"/>
        <item x="273"/>
        <item x="10"/>
        <item x="51"/>
        <item x="343"/>
        <item x="165"/>
        <item x="366"/>
        <item x="348"/>
        <item x="194"/>
        <item x="61"/>
        <item x="309"/>
        <item x="347"/>
        <item x="120"/>
        <item x="250"/>
        <item x="396"/>
        <item x="274"/>
        <item x="313"/>
        <item x="7"/>
        <item x="182"/>
        <item x="373"/>
        <item x="28"/>
        <item x="76"/>
        <item x="185"/>
        <item x="121"/>
        <item x="58"/>
        <item x="216"/>
        <item x="231"/>
        <item x="98"/>
        <item x="223"/>
        <item x="370"/>
        <item x="53"/>
        <item x="340"/>
        <item x="307"/>
        <item x="282"/>
        <item x="388"/>
        <item x="38"/>
        <item x="325"/>
        <item x="116"/>
        <item x="52"/>
        <item x="4"/>
        <item x="249"/>
        <item x="68"/>
        <item x="5"/>
        <item x="220"/>
        <item x="384"/>
        <item x="317"/>
        <item x="295"/>
        <item x="16"/>
        <item x="238"/>
        <item x="13"/>
        <item x="32"/>
        <item x="336"/>
        <item x="132"/>
        <item x="327"/>
        <item x="372"/>
        <item x="3"/>
        <item x="131"/>
        <item x="176"/>
        <item x="398"/>
        <item x="228"/>
        <item x="87"/>
        <item x="6"/>
        <item x="15"/>
        <item x="73"/>
        <item x="350"/>
        <item x="319"/>
        <item x="118"/>
        <item x="240"/>
        <item x="271"/>
        <item x="19"/>
        <item x="199"/>
        <item x="179"/>
        <item x="355"/>
        <item x="232"/>
        <item x="127"/>
        <item x="219"/>
        <item x="381"/>
        <item x="105"/>
        <item x="349"/>
        <item x="268"/>
        <item x="100"/>
        <item x="157"/>
        <item x="270"/>
        <item x="212"/>
        <item x="368"/>
        <item x="236"/>
        <item x="96"/>
        <item x="129"/>
        <item x="225"/>
        <item x="151"/>
        <item x="193"/>
        <item x="306"/>
        <item x="390"/>
        <item x="293"/>
        <item x="115"/>
        <item x="56"/>
        <item x="85"/>
        <item x="374"/>
        <item x="94"/>
        <item x="359"/>
        <item x="302"/>
        <item x="50"/>
        <item x="22"/>
        <item x="237"/>
        <item x="375"/>
        <item x="394"/>
        <item x="195"/>
        <item x="272"/>
        <item x="204"/>
        <item x="45"/>
        <item x="288"/>
        <item x="81"/>
        <item x="57"/>
        <item x="357"/>
        <item x="95"/>
        <item x="37"/>
        <item x="361"/>
        <item x="42"/>
        <item x="397"/>
        <item x="324"/>
        <item x="344"/>
        <item x="43"/>
        <item x="267"/>
        <item x="254"/>
        <item x="119"/>
        <item x="260"/>
        <item x="213"/>
        <item x="320"/>
        <item x="291"/>
        <item x="275"/>
        <item x="385"/>
        <item x="154"/>
        <item x="108"/>
        <item x="303"/>
        <item x="289"/>
        <item x="12"/>
        <item x="88"/>
        <item x="171"/>
        <item x="202"/>
        <item x="246"/>
        <item x="113"/>
        <item x="287"/>
        <item x="138"/>
        <item x="1"/>
        <item x="371"/>
        <item x="70"/>
        <item x="164"/>
        <item x="211"/>
        <item x="8"/>
        <item x="292"/>
        <item x="48"/>
        <item x="40"/>
        <item x="230"/>
        <item x="258"/>
        <item x="209"/>
        <item x="257"/>
        <item x="278"/>
        <item x="144"/>
        <item x="44"/>
        <item x="27"/>
        <item x="386"/>
        <item x="210"/>
        <item x="379"/>
        <item x="226"/>
        <item x="387"/>
        <item x="337"/>
        <item x="106"/>
        <item x="259"/>
        <item x="266"/>
        <item x="243"/>
        <item x="107"/>
        <item x="150"/>
        <item x="329"/>
        <item x="297"/>
        <item x="142"/>
        <item x="290"/>
        <item x="2"/>
        <item x="111"/>
        <item x="393"/>
        <item x="161"/>
        <item x="224"/>
        <item x="312"/>
        <item x="377"/>
        <item x="14"/>
        <item x="305"/>
        <item x="41"/>
        <item x="181"/>
        <item x="146"/>
        <item x="77"/>
        <item x="376"/>
        <item x="314"/>
        <item x="354"/>
        <item x="190"/>
        <item x="328"/>
        <item x="130"/>
        <item x="284"/>
        <item x="263"/>
        <item x="174"/>
        <item x="239"/>
        <item x="155"/>
        <item x="221"/>
        <item x="109"/>
        <item x="323"/>
        <item x="90"/>
        <item x="326"/>
        <item x="365"/>
        <item x="256"/>
        <item x="63"/>
        <item x="296"/>
        <item x="214"/>
        <item x="342"/>
        <item x="89"/>
        <item x="104"/>
        <item x="222"/>
        <item x="170"/>
        <item x="162"/>
        <item x="201"/>
        <item x="369"/>
        <item x="177"/>
        <item x="112"/>
        <item x="265"/>
        <item x="264"/>
        <item x="338"/>
        <item x="316"/>
        <item x="169"/>
        <item x="389"/>
        <item x="277"/>
        <item x="128"/>
        <item x="29"/>
        <item x="330"/>
        <item x="21"/>
        <item x="197"/>
        <item x="160"/>
        <item x="229"/>
        <item x="341"/>
        <item x="191"/>
        <item x="332"/>
        <item x="60"/>
        <item x="335"/>
        <item x="31"/>
        <item x="158"/>
        <item x="117"/>
        <item x="345"/>
        <item x="346"/>
        <item x="18"/>
        <item x="321"/>
        <item x="184"/>
        <item x="207"/>
        <item x="331"/>
        <item x="178"/>
        <item x="114"/>
        <item x="395"/>
        <item x="363"/>
        <item x="235"/>
        <item x="9"/>
        <item x="206"/>
        <item x="35"/>
        <item x="11"/>
        <item x="122"/>
        <item x="55"/>
        <item x="215"/>
        <item x="20"/>
        <item x="308"/>
        <item x="84"/>
        <item x="64"/>
        <item x="167"/>
        <item x="383"/>
        <item x="62"/>
        <item x="101"/>
        <item x="196"/>
        <item x="280"/>
        <item x="172"/>
        <item x="300"/>
        <item x="298"/>
        <item x="262"/>
        <item x="334"/>
        <item x="245"/>
        <item x="188"/>
        <item x="83"/>
        <item x="208"/>
        <item x="72"/>
        <item x="180"/>
        <item x="30"/>
        <item x="136"/>
        <item x="91"/>
        <item x="71"/>
        <item x="163"/>
        <item x="276"/>
        <item x="34"/>
        <item x="143"/>
        <item x="279"/>
        <item x="356"/>
        <item x="333"/>
        <item x="137"/>
        <item x="248"/>
        <item x="186"/>
        <item x="17"/>
        <item x="391"/>
        <item x="198"/>
        <item x="192"/>
        <item x="166"/>
        <item x="134"/>
        <item x="24"/>
        <item x="110"/>
        <item x="364"/>
        <item x="126"/>
        <item x="159"/>
        <item x="25"/>
        <item x="69"/>
        <item x="315"/>
        <item x="234"/>
        <item x="380"/>
        <item x="392"/>
        <item x="46"/>
        <item x="322"/>
        <item x="75"/>
        <item x="310"/>
        <item x="156"/>
        <item x="66"/>
        <item x="78"/>
        <item x="92"/>
        <item x="203"/>
        <item x="362"/>
        <item x="140"/>
        <item x="39"/>
        <item x="149"/>
        <item x="285"/>
        <item x="241"/>
        <item x="74"/>
        <item x="189"/>
        <item x="26"/>
        <item x="147"/>
        <item x="141"/>
        <item x="86"/>
        <item x="242"/>
        <item x="283"/>
        <item x="49"/>
        <item x="152"/>
        <item x="352"/>
        <item x="351"/>
        <item x="153"/>
        <item x="59"/>
        <item x="124"/>
        <item x="200"/>
        <item x="145"/>
        <item x="233"/>
        <item x="173"/>
        <item x="33"/>
        <item x="301"/>
        <item x="99"/>
        <item x="148"/>
        <item x="299"/>
        <item x="227"/>
        <item x="102"/>
        <item x="353"/>
        <item x="218"/>
        <item x="103"/>
        <item x="205"/>
        <item x="175"/>
        <item x="318"/>
        <item x="367"/>
        <item x="247"/>
        <item x="168"/>
        <item x="187"/>
        <item x="82"/>
        <item x="183"/>
        <item x="360"/>
        <item x="93"/>
        <item x="252"/>
        <item x="133"/>
        <item x="67"/>
        <item x="269"/>
        <item x="339"/>
        <item x="253"/>
        <item x="382"/>
        <item x="65"/>
        <item x="217"/>
        <item x="244"/>
        <item x="23"/>
        <item t="countA"/>
      </items>
    </pivotField>
    <pivotField showAll="0">
      <items count="9">
        <item x="6"/>
        <item x="2"/>
        <item x="5"/>
        <item x="1"/>
        <item x="7"/>
        <item x="0"/>
        <item x="3"/>
        <item x="4"/>
        <item t="default"/>
      </items>
    </pivotField>
    <pivotField showAll="0">
      <items count="9">
        <item x="3"/>
        <item x="1"/>
        <item x="6"/>
        <item x="0"/>
        <item x="5"/>
        <item x="2"/>
        <item x="7"/>
        <item x="4"/>
        <item t="default"/>
      </items>
    </pivotField>
    <pivotField showAll="0"/>
    <pivotField numFmtId="3" showAll="0"/>
    <pivotField showAll="0">
      <items count="6">
        <item x="0"/>
        <item x="1"/>
        <item x="2"/>
        <item x="3"/>
        <item x="4"/>
        <item t="default"/>
      </items>
    </pivotField>
    <pivotField axis="axisRow" showAll="0">
      <items count="13">
        <item x="9"/>
        <item x="10"/>
        <item x="11"/>
        <item x="0"/>
        <item x="1"/>
        <item x="2"/>
        <item x="3"/>
        <item x="4"/>
        <item x="5"/>
        <item x="6"/>
        <item x="7"/>
        <item x="8"/>
        <item t="default"/>
      </items>
    </pivotField>
    <pivotField showAll="0"/>
    <pivotField showAll="0">
      <items count="3">
        <item x="0"/>
        <item x="1"/>
        <item t="default"/>
      </items>
    </pivotField>
    <pivotField showAll="0"/>
    <pivotField showAll="0"/>
  </pivotFields>
  <rowFields count="1">
    <field x="8"/>
  </rowFields>
  <rowItems count="13">
    <i>
      <x/>
    </i>
    <i>
      <x v="1"/>
    </i>
    <i>
      <x v="2"/>
    </i>
    <i>
      <x v="3"/>
    </i>
    <i>
      <x v="4"/>
    </i>
    <i>
      <x v="5"/>
    </i>
    <i>
      <x v="6"/>
    </i>
    <i>
      <x v="7"/>
    </i>
    <i>
      <x v="8"/>
    </i>
    <i>
      <x v="9"/>
    </i>
    <i>
      <x v="10"/>
    </i>
    <i>
      <x v="11"/>
    </i>
    <i t="grand">
      <x/>
    </i>
  </rowItems>
  <colItems count="1">
    <i/>
  </colItems>
  <formats count="3">
    <format dxfId="55">
      <pivotArea type="all" dataOnly="0" outline="0" fieldPosition="0"/>
    </format>
    <format dxfId="54">
      <pivotArea outline="0" collapsedLevelsAreSubtotals="1"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8F9BAC-56BD-470B-AE15-CB0E379DD3B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B25:C34" firstHeaderRow="1" firstDataRow="1" firstDataCol="1"/>
  <pivotFields count="13">
    <pivotField showAll="0"/>
    <pivotField showAll="0"/>
    <pivotField showAll="0"/>
    <pivotField axis="axisRow" showAll="0">
      <items count="9">
        <item x="6"/>
        <item x="2"/>
        <item x="5"/>
        <item x="1"/>
        <item x="7"/>
        <item x="0"/>
        <item x="3"/>
        <item x="4"/>
        <item t="default"/>
      </items>
    </pivotField>
    <pivotField showAll="0">
      <items count="9">
        <item x="3"/>
        <item x="1"/>
        <item x="6"/>
        <item x="0"/>
        <item x="5"/>
        <item x="2"/>
        <item x="7"/>
        <item x="4"/>
        <item t="default"/>
      </items>
    </pivotField>
    <pivotField showAll="0"/>
    <pivotField numFmtId="3" showAll="0"/>
    <pivotField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items count="3">
        <item x="0"/>
        <item x="1"/>
        <item t="default"/>
      </items>
    </pivotField>
    <pivotField showAll="0"/>
    <pivotField dataField="1" showAll="0"/>
  </pivotFields>
  <rowFields count="1">
    <field x="3"/>
  </rowFields>
  <rowItems count="9">
    <i>
      <x/>
    </i>
    <i>
      <x v="1"/>
    </i>
    <i>
      <x v="2"/>
    </i>
    <i>
      <x v="3"/>
    </i>
    <i>
      <x v="4"/>
    </i>
    <i>
      <x v="5"/>
    </i>
    <i>
      <x v="6"/>
    </i>
    <i>
      <x v="7"/>
    </i>
    <i t="grand">
      <x/>
    </i>
  </rowItems>
  <colItems count="1">
    <i/>
  </colItems>
  <dataFields count="1">
    <dataField name="Average of Leave Taken" fld="12" subtotal="average" baseField="3" baseItem="0" numFmtId="164"/>
  </dataFields>
  <formats count="6">
    <format dxfId="61">
      <pivotArea type="all" dataOnly="0" outline="0" fieldPosition="0"/>
    </format>
    <format dxfId="60">
      <pivotArea outline="0" collapsedLevelsAreSubtotals="1" fieldPosition="0"/>
    </format>
    <format dxfId="59">
      <pivotArea field="3" type="button" dataOnly="0" labelOnly="1" outline="0" axis="axisRow" fieldPosition="0"/>
    </format>
    <format dxfId="58">
      <pivotArea dataOnly="0" labelOnly="1" fieldPosition="0">
        <references count="1">
          <reference field="3" count="0"/>
        </references>
      </pivotArea>
    </format>
    <format dxfId="57">
      <pivotArea dataOnly="0" labelOnly="1" grandRow="1" outline="0" fieldPosition="0"/>
    </format>
    <format dxfId="56">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0003B2-9CBD-4A27-B22D-8F6A1ED280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H15:AI415" firstHeaderRow="1" firstDataRow="1" firstDataCol="1"/>
  <pivotFields count="13">
    <pivotField showAll="0"/>
    <pivotField showAll="0"/>
    <pivotField axis="axisRow" showAll="0" sortType="descending">
      <items count="400">
        <item x="311"/>
        <item x="47"/>
        <item x="294"/>
        <item x="36"/>
        <item x="0"/>
        <item x="54"/>
        <item x="79"/>
        <item x="135"/>
        <item x="251"/>
        <item x="304"/>
        <item x="97"/>
        <item x="261"/>
        <item x="123"/>
        <item x="286"/>
        <item x="281"/>
        <item x="125"/>
        <item x="378"/>
        <item x="358"/>
        <item x="139"/>
        <item x="80"/>
        <item x="255"/>
        <item x="273"/>
        <item x="10"/>
        <item x="51"/>
        <item x="343"/>
        <item x="165"/>
        <item x="366"/>
        <item x="348"/>
        <item x="194"/>
        <item x="61"/>
        <item x="309"/>
        <item x="347"/>
        <item x="120"/>
        <item x="250"/>
        <item x="396"/>
        <item x="274"/>
        <item x="313"/>
        <item x="7"/>
        <item x="182"/>
        <item x="373"/>
        <item x="28"/>
        <item x="76"/>
        <item x="185"/>
        <item x="121"/>
        <item x="58"/>
        <item x="216"/>
        <item x="231"/>
        <item x="98"/>
        <item x="223"/>
        <item x="370"/>
        <item x="53"/>
        <item x="340"/>
        <item x="307"/>
        <item x="282"/>
        <item x="388"/>
        <item x="38"/>
        <item x="325"/>
        <item x="116"/>
        <item x="52"/>
        <item x="4"/>
        <item x="249"/>
        <item x="68"/>
        <item x="5"/>
        <item x="220"/>
        <item x="384"/>
        <item x="317"/>
        <item x="295"/>
        <item x="16"/>
        <item x="238"/>
        <item x="13"/>
        <item x="32"/>
        <item x="336"/>
        <item x="132"/>
        <item x="327"/>
        <item x="372"/>
        <item x="3"/>
        <item x="131"/>
        <item x="176"/>
        <item x="398"/>
        <item x="228"/>
        <item x="87"/>
        <item x="6"/>
        <item x="15"/>
        <item x="73"/>
        <item x="350"/>
        <item x="319"/>
        <item x="118"/>
        <item x="240"/>
        <item x="271"/>
        <item x="19"/>
        <item x="199"/>
        <item x="179"/>
        <item x="355"/>
        <item x="232"/>
        <item x="127"/>
        <item x="219"/>
        <item x="381"/>
        <item x="105"/>
        <item x="349"/>
        <item x="268"/>
        <item x="100"/>
        <item x="157"/>
        <item x="270"/>
        <item x="212"/>
        <item x="368"/>
        <item x="236"/>
        <item x="96"/>
        <item x="129"/>
        <item x="225"/>
        <item x="151"/>
        <item x="193"/>
        <item x="306"/>
        <item x="390"/>
        <item x="293"/>
        <item x="115"/>
        <item x="56"/>
        <item x="85"/>
        <item x="374"/>
        <item x="94"/>
        <item x="359"/>
        <item x="302"/>
        <item x="50"/>
        <item x="22"/>
        <item x="237"/>
        <item x="375"/>
        <item x="394"/>
        <item x="195"/>
        <item x="272"/>
        <item x="204"/>
        <item x="45"/>
        <item x="288"/>
        <item x="81"/>
        <item x="57"/>
        <item x="357"/>
        <item x="95"/>
        <item x="37"/>
        <item x="361"/>
        <item x="42"/>
        <item x="397"/>
        <item x="324"/>
        <item x="344"/>
        <item x="43"/>
        <item x="267"/>
        <item x="254"/>
        <item x="119"/>
        <item x="260"/>
        <item x="213"/>
        <item x="320"/>
        <item x="291"/>
        <item x="275"/>
        <item x="385"/>
        <item x="154"/>
        <item x="108"/>
        <item x="303"/>
        <item x="289"/>
        <item x="12"/>
        <item x="88"/>
        <item x="171"/>
        <item x="202"/>
        <item x="246"/>
        <item x="113"/>
        <item x="287"/>
        <item x="138"/>
        <item x="1"/>
        <item x="371"/>
        <item x="70"/>
        <item x="164"/>
        <item x="211"/>
        <item x="8"/>
        <item x="292"/>
        <item x="48"/>
        <item x="40"/>
        <item x="230"/>
        <item x="258"/>
        <item x="209"/>
        <item x="257"/>
        <item x="278"/>
        <item x="144"/>
        <item x="44"/>
        <item x="27"/>
        <item x="386"/>
        <item x="210"/>
        <item x="379"/>
        <item x="226"/>
        <item x="387"/>
        <item x="337"/>
        <item x="106"/>
        <item x="259"/>
        <item x="266"/>
        <item x="243"/>
        <item x="107"/>
        <item x="150"/>
        <item x="329"/>
        <item x="297"/>
        <item x="142"/>
        <item x="290"/>
        <item x="2"/>
        <item x="111"/>
        <item x="393"/>
        <item x="161"/>
        <item x="224"/>
        <item x="312"/>
        <item x="377"/>
        <item x="14"/>
        <item x="305"/>
        <item x="41"/>
        <item x="181"/>
        <item x="146"/>
        <item x="77"/>
        <item x="376"/>
        <item x="314"/>
        <item x="354"/>
        <item x="190"/>
        <item x="328"/>
        <item x="130"/>
        <item x="284"/>
        <item x="263"/>
        <item x="174"/>
        <item x="239"/>
        <item x="155"/>
        <item x="221"/>
        <item x="109"/>
        <item x="323"/>
        <item x="90"/>
        <item x="326"/>
        <item x="365"/>
        <item x="256"/>
        <item x="63"/>
        <item x="296"/>
        <item x="214"/>
        <item x="342"/>
        <item x="89"/>
        <item x="104"/>
        <item x="222"/>
        <item x="170"/>
        <item x="162"/>
        <item x="201"/>
        <item x="369"/>
        <item x="177"/>
        <item x="112"/>
        <item x="265"/>
        <item x="264"/>
        <item x="338"/>
        <item x="316"/>
        <item x="169"/>
        <item x="389"/>
        <item x="277"/>
        <item x="128"/>
        <item x="29"/>
        <item x="330"/>
        <item x="21"/>
        <item x="197"/>
        <item x="160"/>
        <item x="229"/>
        <item x="341"/>
        <item x="191"/>
        <item x="332"/>
        <item x="60"/>
        <item x="335"/>
        <item x="31"/>
        <item x="158"/>
        <item x="117"/>
        <item x="345"/>
        <item x="346"/>
        <item x="18"/>
        <item x="321"/>
        <item x="184"/>
        <item x="207"/>
        <item x="331"/>
        <item x="178"/>
        <item x="114"/>
        <item x="395"/>
        <item x="363"/>
        <item x="235"/>
        <item x="9"/>
        <item x="206"/>
        <item x="35"/>
        <item x="11"/>
        <item x="122"/>
        <item x="55"/>
        <item x="215"/>
        <item x="20"/>
        <item x="308"/>
        <item x="84"/>
        <item x="64"/>
        <item x="167"/>
        <item x="383"/>
        <item x="62"/>
        <item x="101"/>
        <item x="196"/>
        <item x="280"/>
        <item x="172"/>
        <item x="300"/>
        <item x="298"/>
        <item x="262"/>
        <item x="334"/>
        <item x="245"/>
        <item x="188"/>
        <item x="83"/>
        <item x="208"/>
        <item x="72"/>
        <item x="180"/>
        <item x="30"/>
        <item x="136"/>
        <item x="91"/>
        <item x="71"/>
        <item x="163"/>
        <item x="276"/>
        <item x="34"/>
        <item x="143"/>
        <item x="279"/>
        <item x="356"/>
        <item x="333"/>
        <item x="137"/>
        <item x="248"/>
        <item x="186"/>
        <item x="17"/>
        <item x="391"/>
        <item x="198"/>
        <item x="192"/>
        <item x="166"/>
        <item x="134"/>
        <item x="24"/>
        <item x="110"/>
        <item x="364"/>
        <item x="126"/>
        <item x="159"/>
        <item x="25"/>
        <item x="69"/>
        <item x="315"/>
        <item x="234"/>
        <item x="380"/>
        <item x="392"/>
        <item x="46"/>
        <item x="322"/>
        <item x="75"/>
        <item x="310"/>
        <item x="156"/>
        <item x="66"/>
        <item x="78"/>
        <item x="92"/>
        <item x="203"/>
        <item x="362"/>
        <item x="140"/>
        <item x="39"/>
        <item x="149"/>
        <item x="285"/>
        <item x="241"/>
        <item x="74"/>
        <item x="189"/>
        <item x="26"/>
        <item x="147"/>
        <item x="141"/>
        <item x="86"/>
        <item x="242"/>
        <item x="283"/>
        <item x="49"/>
        <item x="152"/>
        <item x="352"/>
        <item x="351"/>
        <item x="153"/>
        <item x="59"/>
        <item x="124"/>
        <item x="200"/>
        <item x="145"/>
        <item x="233"/>
        <item x="173"/>
        <item x="33"/>
        <item x="301"/>
        <item x="99"/>
        <item x="148"/>
        <item x="299"/>
        <item x="227"/>
        <item x="102"/>
        <item x="353"/>
        <item x="218"/>
        <item x="103"/>
        <item x="205"/>
        <item x="175"/>
        <item x="318"/>
        <item x="367"/>
        <item x="247"/>
        <item x="168"/>
        <item x="187"/>
        <item x="82"/>
        <item x="183"/>
        <item x="360"/>
        <item x="93"/>
        <item x="252"/>
        <item x="133"/>
        <item x="67"/>
        <item x="269"/>
        <item x="339"/>
        <item x="253"/>
        <item x="382"/>
        <item x="65"/>
        <item x="217"/>
        <item x="244"/>
        <item x="23"/>
        <item t="default"/>
      </items>
      <autoSortScope>
        <pivotArea dataOnly="0" outline="0" fieldPosition="0">
          <references count="1">
            <reference field="4294967294" count="1" selected="0">
              <x v="0"/>
            </reference>
          </references>
        </pivotArea>
      </autoSortScope>
    </pivotField>
    <pivotField showAll="0">
      <items count="9">
        <item x="6"/>
        <item x="2"/>
        <item x="5"/>
        <item x="1"/>
        <item x="7"/>
        <item x="0"/>
        <item x="3"/>
        <item x="4"/>
        <item t="default"/>
      </items>
    </pivotField>
    <pivotField showAll="0">
      <items count="9">
        <item x="3"/>
        <item x="1"/>
        <item x="6"/>
        <item x="0"/>
        <item x="5"/>
        <item x="2"/>
        <item x="7"/>
        <item x="4"/>
        <item t="default"/>
      </items>
    </pivotField>
    <pivotField showAll="0"/>
    <pivotField dataField="1" numFmtId="3" showAll="0"/>
    <pivotField showAll="0">
      <items count="6">
        <item x="0"/>
        <item x="1"/>
        <item x="2"/>
        <item x="3"/>
        <item x="4"/>
        <item t="default"/>
      </items>
    </pivotField>
    <pivotField showAll="0">
      <items count="13">
        <item x="9"/>
        <item x="10"/>
        <item x="11"/>
        <item x="0"/>
        <item x="1"/>
        <item x="2"/>
        <item x="3"/>
        <item x="4"/>
        <item x="5"/>
        <item x="6"/>
        <item x="7"/>
        <item x="8"/>
        <item t="default"/>
      </items>
    </pivotField>
    <pivotField showAll="0"/>
    <pivotField showAll="0">
      <items count="3">
        <item x="0"/>
        <item x="1"/>
        <item t="default"/>
      </items>
    </pivotField>
    <pivotField showAll="0"/>
    <pivotField showAll="0"/>
  </pivotFields>
  <rowFields count="1">
    <field x="2"/>
  </rowFields>
  <rowItems count="400">
    <i>
      <x v="80"/>
    </i>
    <i>
      <x v="144"/>
    </i>
    <i>
      <x v="43"/>
    </i>
    <i>
      <x v="257"/>
    </i>
    <i>
      <x v="306"/>
    </i>
    <i>
      <x v="87"/>
    </i>
    <i>
      <x v="365"/>
    </i>
    <i>
      <x v="229"/>
    </i>
    <i>
      <x v="388"/>
    </i>
    <i>
      <x v="29"/>
    </i>
    <i>
      <x v="77"/>
    </i>
    <i>
      <x v="41"/>
    </i>
    <i>
      <x v="107"/>
    </i>
    <i>
      <x v="167"/>
    </i>
    <i>
      <x v="285"/>
    </i>
    <i>
      <x v="362"/>
    </i>
    <i>
      <x v="81"/>
    </i>
    <i>
      <x v="163"/>
    </i>
    <i>
      <x v="360"/>
    </i>
    <i>
      <x v="266"/>
    </i>
    <i>
      <x v="181"/>
    </i>
    <i>
      <x v="319"/>
    </i>
    <i>
      <x v="273"/>
    </i>
    <i>
      <x v="227"/>
    </i>
    <i>
      <x v="4"/>
    </i>
    <i>
      <x v="156"/>
    </i>
    <i>
      <x v="139"/>
    </i>
    <i>
      <x v="190"/>
    </i>
    <i>
      <x v="260"/>
    </i>
    <i>
      <x v="136"/>
    </i>
    <i>
      <x v="49"/>
    </i>
    <i>
      <x v="95"/>
    </i>
    <i>
      <x v="58"/>
    </i>
    <i>
      <x v="109"/>
    </i>
    <i>
      <x v="335"/>
    </i>
    <i>
      <x v="199"/>
    </i>
    <i>
      <x v="61"/>
    </i>
    <i>
      <x v="99"/>
    </i>
    <i>
      <x v="347"/>
    </i>
    <i>
      <x v="217"/>
    </i>
    <i>
      <x v="380"/>
    </i>
    <i>
      <x v="75"/>
    </i>
    <i>
      <x v="300"/>
    </i>
    <i>
      <x v="211"/>
    </i>
    <i>
      <x v="398"/>
    </i>
    <i>
      <x v="361"/>
    </i>
    <i>
      <x v="168"/>
    </i>
    <i>
      <x v="228"/>
    </i>
    <i>
      <x v="135"/>
    </i>
    <i>
      <x v="40"/>
    </i>
    <i>
      <x v="358"/>
    </i>
    <i>
      <x v="232"/>
    </i>
    <i>
      <x v="344"/>
    </i>
    <i>
      <x v="330"/>
    </i>
    <i>
      <x v="391"/>
    </i>
    <i>
      <x v="284"/>
    </i>
    <i>
      <x v="267"/>
    </i>
    <i>
      <x v="321"/>
    </i>
    <i>
      <x v="350"/>
    </i>
    <i>
      <x v="328"/>
    </i>
    <i>
      <x v="279"/>
    </i>
    <i>
      <x v="250"/>
    </i>
    <i>
      <x v="364"/>
    </i>
    <i>
      <x v="292"/>
    </i>
    <i>
      <x v="281"/>
    </i>
    <i>
      <x v="210"/>
    </i>
    <i>
      <x v="367"/>
    </i>
    <i>
      <x v="143"/>
    </i>
    <i>
      <x v="10"/>
    </i>
    <i>
      <x v="343"/>
    </i>
    <i>
      <x v="42"/>
    </i>
    <i>
      <x v="289"/>
    </i>
    <i>
      <x v="278"/>
    </i>
    <i>
      <x v="159"/>
    </i>
    <i>
      <x v="176"/>
    </i>
    <i>
      <x v="249"/>
    </i>
    <i>
      <x v="353"/>
    </i>
    <i>
      <x v="268"/>
    </i>
    <i>
      <x v="363"/>
    </i>
    <i>
      <x v="354"/>
    </i>
    <i>
      <x v="116"/>
    </i>
    <i>
      <x v="34"/>
    </i>
    <i>
      <x v="375"/>
    </i>
    <i>
      <x v="318"/>
    </i>
    <i>
      <x v="196"/>
    </i>
    <i>
      <x v="131"/>
    </i>
    <i>
      <x v="63"/>
    </i>
    <i>
      <x v="51"/>
    </i>
    <i>
      <x v="90"/>
    </i>
    <i>
      <x v="71"/>
    </i>
    <i>
      <x v="177"/>
    </i>
    <i>
      <x v="152"/>
    </i>
    <i>
      <x v="79"/>
    </i>
    <i>
      <x v="338"/>
    </i>
    <i>
      <x v="248"/>
    </i>
    <i>
      <x v="20"/>
    </i>
    <i>
      <x v="115"/>
    </i>
    <i>
      <x v="118"/>
    </i>
    <i>
      <x v="154"/>
    </i>
    <i>
      <x v="302"/>
    </i>
    <i>
      <x v="327"/>
    </i>
    <i>
      <x v="86"/>
    </i>
    <i>
      <x v="192"/>
    </i>
    <i>
      <x v="265"/>
    </i>
    <i>
      <x v="138"/>
    </i>
    <i>
      <x v="56"/>
    </i>
    <i>
      <x v="235"/>
    </i>
    <i>
      <x v="195"/>
    </i>
    <i>
      <x v="164"/>
    </i>
    <i>
      <x v="218"/>
    </i>
    <i>
      <x v="134"/>
    </i>
    <i>
      <x v="219"/>
    </i>
    <i>
      <x v="352"/>
    </i>
    <i>
      <x v="203"/>
    </i>
    <i>
      <x v="186"/>
    </i>
    <i>
      <x v="243"/>
    </i>
    <i>
      <x v="206"/>
    </i>
    <i>
      <x v="88"/>
    </i>
    <i>
      <x v="114"/>
    </i>
    <i>
      <x v="129"/>
    </i>
    <i>
      <x v="113"/>
    </i>
    <i>
      <x v="1"/>
    </i>
    <i>
      <x v="295"/>
    </i>
    <i>
      <x v="385"/>
    </i>
    <i>
      <x v="234"/>
    </i>
    <i>
      <x v="259"/>
    </i>
    <i>
      <x v="148"/>
    </i>
    <i>
      <x v="209"/>
    </i>
    <i>
      <x v="155"/>
    </i>
    <i>
      <x v="183"/>
    </i>
    <i>
      <x v="194"/>
    </i>
    <i>
      <x v="297"/>
    </i>
    <i>
      <x v="122"/>
    </i>
    <i>
      <x v="204"/>
    </i>
    <i>
      <x v="130"/>
    </i>
    <i>
      <x v="326"/>
    </i>
    <i>
      <x v="5"/>
    </i>
    <i>
      <x v="264"/>
    </i>
    <i>
      <x v="296"/>
    </i>
    <i>
      <x v="53"/>
    </i>
    <i>
      <x v="22"/>
    </i>
    <i>
      <x v="309"/>
    </i>
    <i>
      <x v="11"/>
    </i>
    <i>
      <x v="35"/>
    </i>
    <i>
      <x v="73"/>
    </i>
    <i>
      <x v="251"/>
    </i>
    <i>
      <x v="332"/>
    </i>
    <i>
      <x v="119"/>
    </i>
    <i>
      <x v="208"/>
    </i>
    <i>
      <x v="304"/>
    </i>
    <i>
      <x v="342"/>
    </i>
    <i>
      <x v="132"/>
    </i>
    <i>
      <x v="141"/>
    </i>
    <i>
      <x v="193"/>
    </i>
    <i>
      <x v="254"/>
    </i>
    <i>
      <x v="221"/>
    </i>
    <i>
      <x v="62"/>
    </i>
    <i>
      <x v="123"/>
    </i>
    <i>
      <x v="179"/>
    </i>
    <i>
      <x v="67"/>
    </i>
    <i>
      <x v="255"/>
    </i>
    <i>
      <x v="150"/>
    </i>
    <i>
      <x v="25"/>
    </i>
    <i>
      <x v="106"/>
    </i>
    <i>
      <x v="36"/>
    </i>
    <i>
      <x v="117"/>
    </i>
    <i>
      <x v="359"/>
    </i>
    <i>
      <x v="341"/>
    </i>
    <i>
      <x v="371"/>
    </i>
    <i>
      <x v="169"/>
    </i>
    <i>
      <x v="180"/>
    </i>
    <i>
      <x v="253"/>
    </i>
    <i>
      <x v="394"/>
    </i>
    <i>
      <x v="389"/>
    </i>
    <i>
      <x v="355"/>
    </i>
    <i>
      <x v="325"/>
    </i>
    <i>
      <x v="222"/>
    </i>
    <i>
      <x v="175"/>
    </i>
    <i>
      <x v="50"/>
    </i>
    <i>
      <x v="57"/>
    </i>
    <i>
      <x v="101"/>
    </i>
    <i>
      <x v="301"/>
    </i>
    <i>
      <x v="74"/>
    </i>
    <i>
      <x v="30"/>
    </i>
    <i>
      <x v="185"/>
    </i>
    <i>
      <x v="142"/>
    </i>
    <i>
      <x v="23"/>
    </i>
    <i>
      <x v="2"/>
    </i>
    <i>
      <x v="39"/>
    </i>
    <i>
      <x v="93"/>
    </i>
    <i>
      <x v="8"/>
    </i>
    <i>
      <x v="68"/>
    </i>
    <i>
      <x v="369"/>
    </i>
    <i>
      <x v="246"/>
    </i>
    <i>
      <x v="276"/>
    </i>
    <i>
      <x v="9"/>
    </i>
    <i>
      <x v="205"/>
    </i>
    <i>
      <x v="378"/>
    </i>
    <i>
      <x v="382"/>
    </i>
    <i>
      <x v="184"/>
    </i>
    <i>
      <x v="202"/>
    </i>
    <i>
      <x v="98"/>
    </i>
    <i>
      <x v="241"/>
    </i>
    <i>
      <x v="133"/>
    </i>
    <i>
      <x v="59"/>
    </i>
    <i>
      <x v="173"/>
    </i>
    <i>
      <x v="3"/>
    </i>
    <i>
      <x v="64"/>
    </i>
    <i>
      <x v="287"/>
    </i>
    <i>
      <x v="187"/>
    </i>
    <i>
      <x v="291"/>
    </i>
    <i>
      <x v="6"/>
    </i>
    <i>
      <x v="349"/>
    </i>
    <i>
      <x v="166"/>
    </i>
    <i>
      <x v="298"/>
    </i>
    <i>
      <x v="236"/>
    </i>
    <i>
      <x v="231"/>
    </i>
    <i>
      <x v="102"/>
    </i>
    <i>
      <x v="262"/>
    </i>
    <i>
      <x v="324"/>
    </i>
    <i>
      <x v="305"/>
    </i>
    <i>
      <x v="383"/>
    </i>
    <i>
      <x v="225"/>
    </i>
    <i>
      <x v="258"/>
    </i>
    <i>
      <x v="14"/>
    </i>
    <i>
      <x v="161"/>
    </i>
    <i>
      <x v="390"/>
    </i>
    <i>
      <x v="272"/>
    </i>
    <i>
      <x v="379"/>
    </i>
    <i>
      <x v="83"/>
    </i>
    <i>
      <x v="17"/>
    </i>
    <i>
      <x v="233"/>
    </i>
    <i>
      <x v="66"/>
    </i>
    <i>
      <x v="263"/>
    </i>
    <i>
      <x v="377"/>
    </i>
    <i>
      <x v="105"/>
    </i>
    <i>
      <x v="299"/>
    </i>
    <i>
      <x v="310"/>
    </i>
    <i>
      <x v="92"/>
    </i>
    <i>
      <x v="237"/>
    </i>
    <i>
      <x v="244"/>
    </i>
    <i>
      <x v="345"/>
    </i>
    <i>
      <x v="21"/>
    </i>
    <i>
      <x v="108"/>
    </i>
    <i>
      <x v="216"/>
    </i>
    <i>
      <x v="60"/>
    </i>
    <i>
      <x v="55"/>
    </i>
    <i>
      <x v="269"/>
    </i>
    <i>
      <x v="178"/>
    </i>
    <i>
      <x v="48"/>
    </i>
    <i>
      <x v="340"/>
    </i>
    <i>
      <x v="78"/>
    </i>
    <i>
      <x v="16"/>
    </i>
    <i>
      <x v="392"/>
    </i>
    <i>
      <x v="127"/>
    </i>
    <i>
      <x v="76"/>
    </i>
    <i>
      <x v="94"/>
    </i>
    <i>
      <x v="261"/>
    </i>
    <i>
      <x v="158"/>
    </i>
    <i>
      <x v="283"/>
    </i>
    <i>
      <x v="223"/>
    </i>
    <i>
      <x v="97"/>
    </i>
    <i>
      <x v="160"/>
    </i>
    <i>
      <x v="286"/>
    </i>
    <i>
      <x v="239"/>
    </i>
    <i>
      <x v="337"/>
    </i>
    <i>
      <x v="256"/>
    </i>
    <i>
      <x v="45"/>
    </i>
    <i>
      <x v="72"/>
    </i>
    <i>
      <x v="96"/>
    </i>
    <i>
      <x v="270"/>
    </i>
    <i>
      <x v="282"/>
    </i>
    <i>
      <x v="240"/>
    </i>
    <i>
      <x v="294"/>
    </i>
    <i>
      <x v="308"/>
    </i>
    <i>
      <x/>
    </i>
    <i>
      <x v="290"/>
    </i>
    <i>
      <x v="32"/>
    </i>
    <i>
      <x v="307"/>
    </i>
    <i>
      <x v="368"/>
    </i>
    <i>
      <x v="277"/>
    </i>
    <i>
      <x v="252"/>
    </i>
    <i>
      <x v="280"/>
    </i>
    <i>
      <x v="224"/>
    </i>
    <i>
      <x v="313"/>
    </i>
    <i>
      <x v="70"/>
    </i>
    <i>
      <x v="197"/>
    </i>
    <i>
      <x v="191"/>
    </i>
    <i>
      <x v="65"/>
    </i>
    <i>
      <x v="89"/>
    </i>
    <i>
      <x v="47"/>
    </i>
    <i>
      <x v="212"/>
    </i>
    <i>
      <x v="314"/>
    </i>
    <i>
      <x v="395"/>
    </i>
    <i>
      <x v="24"/>
    </i>
    <i>
      <x v="110"/>
    </i>
    <i>
      <x v="100"/>
    </i>
    <i>
      <x v="15"/>
    </i>
    <i>
      <x v="37"/>
    </i>
    <i>
      <x v="157"/>
    </i>
    <i>
      <x v="172"/>
    </i>
    <i>
      <x v="311"/>
    </i>
    <i>
      <x v="104"/>
    </i>
    <i>
      <x v="373"/>
    </i>
    <i>
      <x v="331"/>
    </i>
    <i>
      <x v="200"/>
    </i>
    <i>
      <x v="215"/>
    </i>
    <i>
      <x v="126"/>
    </i>
    <i>
      <x v="13"/>
    </i>
    <i>
      <x v="28"/>
    </i>
    <i>
      <x v="322"/>
    </i>
    <i>
      <x v="384"/>
    </i>
    <i>
      <x v="274"/>
    </i>
    <i>
      <x v="145"/>
    </i>
    <i>
      <x v="315"/>
    </i>
    <i>
      <x v="27"/>
    </i>
    <i>
      <x v="162"/>
    </i>
    <i>
      <x v="149"/>
    </i>
    <i>
      <x v="348"/>
    </i>
    <i>
      <x v="111"/>
    </i>
    <i>
      <x v="214"/>
    </i>
    <i>
      <x v="69"/>
    </i>
    <i>
      <x v="372"/>
    </i>
    <i>
      <x v="120"/>
    </i>
    <i>
      <x v="213"/>
    </i>
    <i>
      <x v="275"/>
    </i>
    <i>
      <x v="320"/>
    </i>
    <i>
      <x v="316"/>
    </i>
    <i>
      <x v="46"/>
    </i>
    <i>
      <x v="303"/>
    </i>
    <i>
      <x v="171"/>
    </i>
    <i>
      <x v="329"/>
    </i>
    <i>
      <x v="124"/>
    </i>
    <i>
      <x v="103"/>
    </i>
    <i>
      <x v="288"/>
    </i>
    <i>
      <x v="26"/>
    </i>
    <i>
      <x v="188"/>
    </i>
    <i>
      <x v="31"/>
    </i>
    <i>
      <x v="351"/>
    </i>
    <i>
      <x v="374"/>
    </i>
    <i>
      <x v="393"/>
    </i>
    <i>
      <x v="387"/>
    </i>
    <i>
      <x v="151"/>
    </i>
    <i>
      <x v="147"/>
    </i>
    <i>
      <x v="170"/>
    </i>
    <i>
      <x v="396"/>
    </i>
    <i>
      <x v="226"/>
    </i>
    <i>
      <x v="366"/>
    </i>
    <i>
      <x v="19"/>
    </i>
    <i>
      <x v="271"/>
    </i>
    <i>
      <x v="7"/>
    </i>
    <i>
      <x v="121"/>
    </i>
    <i>
      <x v="386"/>
    </i>
    <i>
      <x v="52"/>
    </i>
    <i>
      <x v="18"/>
    </i>
    <i>
      <x v="242"/>
    </i>
    <i>
      <x v="247"/>
    </i>
    <i>
      <x v="153"/>
    </i>
    <i>
      <x v="165"/>
    </i>
    <i>
      <x v="238"/>
    </i>
    <i>
      <x v="33"/>
    </i>
    <i>
      <x v="370"/>
    </i>
    <i>
      <x v="333"/>
    </i>
    <i>
      <x v="137"/>
    </i>
    <i>
      <x v="346"/>
    </i>
    <i>
      <x v="182"/>
    </i>
    <i>
      <x v="376"/>
    </i>
    <i>
      <x v="84"/>
    </i>
    <i>
      <x v="334"/>
    </i>
    <i>
      <x v="397"/>
    </i>
    <i>
      <x v="91"/>
    </i>
    <i>
      <x v="174"/>
    </i>
    <i>
      <x v="336"/>
    </i>
    <i>
      <x v="82"/>
    </i>
    <i>
      <x v="12"/>
    </i>
    <i>
      <x v="207"/>
    </i>
    <i>
      <x v="293"/>
    </i>
    <i>
      <x v="44"/>
    </i>
    <i>
      <x v="38"/>
    </i>
    <i>
      <x v="312"/>
    </i>
    <i>
      <x v="125"/>
    </i>
    <i>
      <x v="230"/>
    </i>
    <i>
      <x v="54"/>
    </i>
    <i>
      <x v="245"/>
    </i>
    <i>
      <x v="220"/>
    </i>
    <i>
      <x v="112"/>
    </i>
    <i>
      <x v="381"/>
    </i>
    <i>
      <x v="317"/>
    </i>
    <i>
      <x v="356"/>
    </i>
    <i>
      <x v="339"/>
    </i>
    <i>
      <x v="85"/>
    </i>
    <i>
      <x v="140"/>
    </i>
    <i>
      <x v="128"/>
    </i>
    <i>
      <x v="201"/>
    </i>
    <i>
      <x v="323"/>
    </i>
    <i>
      <x v="357"/>
    </i>
    <i>
      <x v="146"/>
    </i>
    <i>
      <x v="189"/>
    </i>
    <i>
      <x v="198"/>
    </i>
    <i t="grand">
      <x/>
    </i>
  </rowItems>
  <colItems count="1">
    <i/>
  </colItems>
  <dataFields count="1">
    <dataField name="Sum of Salary (₹)" fld="6" baseField="2" baseItem="0" numFmtId="3"/>
  </dataFields>
  <formats count="6">
    <format dxfId="67">
      <pivotArea type="all" dataOnly="0" outline="0" fieldPosition="0"/>
    </format>
    <format dxfId="66">
      <pivotArea outline="0" collapsedLevelsAreSubtotals="1" fieldPosition="0"/>
    </format>
    <format dxfId="65">
      <pivotArea field="3" type="button" dataOnly="0" labelOnly="1" outline="0"/>
    </format>
    <format dxfId="64">
      <pivotArea dataOnly="0" labelOnly="1" grandRow="1" outline="0" fieldPosition="0"/>
    </format>
    <format dxfId="63">
      <pivotArea field="8" type="button" dataOnly="0" labelOnly="1" outline="0"/>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DF7EB53A-CF72-407B-826C-ECC933887979}" sourceName="Performance Rating">
  <pivotTables>
    <pivotTable tabId="3" name="PivotTable18"/>
    <pivotTable tabId="3" name="PivotTable19"/>
    <pivotTable tabId="3" name="PivotTable11"/>
    <pivotTable tabId="3" name="PivotTable12"/>
    <pivotTable tabId="3" name="PivotTable13"/>
    <pivotTable tabId="3" name="PivotTable14"/>
    <pivotTable tabId="3" name="PivotTable15"/>
    <pivotTable tabId="3" name="PivotTable16"/>
    <pivotTable tabId="3" name="PivotTable17"/>
    <pivotTable tabId="3" name="PivotTable20"/>
    <pivotTable tabId="3" name="PivotTable21"/>
    <pivotTable tabId="3" name="PivotTable1"/>
    <pivotTable tabId="3" name="PivotTable2"/>
  </pivotTables>
  <data>
    <tabular pivotCacheId="1379425360">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5601B06-142D-49CA-983E-61DDC29A06A4}" sourceName="Department">
  <pivotTables>
    <pivotTable tabId="3" name="PivotTable19"/>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0"/>
    <pivotTable tabId="3" name="PivotTable21"/>
    <pivotTable tabId="3" name="PivotTable1"/>
    <pivotTable tabId="3" name="PivotTable2"/>
  </pivotTables>
  <data>
    <tabular pivotCacheId="1379425360">
      <items count="8">
        <i x="6" s="1"/>
        <i x="2" s="1"/>
        <i x="5" s="1"/>
        <i x="1" s="1"/>
        <i x="7"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ing_Month" xr10:uid="{F88EEEE5-99C5-4D52-A3AB-3968E286CD80}" sourceName="Joining Month">
  <pivotTables>
    <pivotTable tabId="3" name="PivotTable20"/>
    <pivotTable tabId="3" name="PivotTable2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1"/>
    <pivotTable tabId="3" name="PivotTable2"/>
  </pivotTables>
  <data>
    <tabular pivotCacheId="1379425360">
      <items count="12">
        <i x="9" s="1"/>
        <i x="10" s="1"/>
        <i x="11" s="1"/>
        <i x="0" s="1"/>
        <i x="1" s="1"/>
        <i x="2" s="1"/>
        <i x="3" s="1"/>
        <i x="4" s="1"/>
        <i x="5" s="1"/>
        <i x="6" s="1"/>
        <i x="7"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F29C2D-1C19-4315-8AF9-8C447D0466F3}" sourceName="Gender">
  <pivotTables>
    <pivotTable tabId="3" name="PivotTable2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19"/>
    <pivotTable tabId="3" name="PivotTable20"/>
    <pivotTable tabId="3" name="PivotTable1"/>
    <pivotTable tabId="3" name="PivotTable2"/>
  </pivotTables>
  <data>
    <tabular pivotCacheId="137942536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Rating" xr10:uid="{023C035A-7681-4587-AB18-29E4AF9F5DE1}" cache="Slicer_Performance_Rating" caption="Performance Rating" style="SlicerStyleLight6" rowHeight="234950"/>
  <slicer name="Department" xr10:uid="{907D9C7C-1654-4930-96C1-A9A9CFF550E2}" cache="Slicer_Department" caption="Department" style="SlicerStyleLight6" rowHeight="234950"/>
  <slicer name="Joining Month" xr10:uid="{8EEF2F9D-E44F-4E84-A2CE-4550A8925136}" cache="Slicer_Joining_Month" caption="Joining Month" style="SlicerStyleLight6" rowHeight="234950"/>
  <slicer name="Gender" xr10:uid="{5E344D80-DBE8-4645-B0C6-28EEA0FF6012}" cache="Slicer_Gender" caption="Gender"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Rating 1" xr10:uid="{C658D609-F4F6-4506-981B-71B19B134F63}" cache="Slicer_Performance_Rating" caption="Performance Rating" style="SlicerStyleLight6" rowHeight="360000"/>
  <slicer name="Department 1" xr10:uid="{2BFD8DD5-9C13-4802-B972-AA52A0B24212}" cache="Slicer_Department" caption="Department" style="SlicerStyleLight6" rowHeight="216000"/>
  <slicer name="Joining Month 1" xr10:uid="{05910C7E-CE10-4DB6-A256-D5D61CB92A38}" cache="Slicer_Joining_Month" caption="Joining Month" columnCount="2" style="SlicerStyleLight6" rowHeight="216000"/>
  <slicer name="Gender 1" xr10:uid="{56E6FBC6-455D-4C83-BFFD-C879E9323955}" cache="Slicer_Gender" caption="Gender" style="SlicerStyleLight6"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5438A8-8F6A-4B8A-87EE-92E4F08AEDE2}" name="Table1" displayName="Table1" ref="A3:M153" totalsRowShown="0">
  <autoFilter ref="A3:M153" xr:uid="{4E5438A8-8F6A-4B8A-87EE-92E4F08AEDE2}"/>
  <tableColumns count="13">
    <tableColumn id="1" xr3:uid="{1D7A1023-6E91-421A-8ECD-033E9396D3D3}" name="Sr No"/>
    <tableColumn id="2" xr3:uid="{8298BC1F-B86A-4C13-9225-0198C751A821}" name="Emp ID"/>
    <tableColumn id="3" xr3:uid="{1DDC511B-F32D-4435-BA97-A86A5A32948F}" name="Employee Name"/>
    <tableColumn id="4" xr3:uid="{14A8D634-1782-4D20-8222-B74AB10299C6}" name="Department"/>
    <tableColumn id="5" xr3:uid="{662F4161-426B-42F0-BA16-CCCC1D47CDDE}" name="Branch"/>
    <tableColumn id="6" xr3:uid="{5725611C-CFEF-455F-AD86-9BA8042700A3}" name="Designation"/>
    <tableColumn id="7" xr3:uid="{FF76C711-0FDB-4C93-B441-9C03B8D1100B}" name="Salary (₹)"/>
    <tableColumn id="8" xr3:uid="{B5BCA8A5-1C2B-4E96-8CA7-5ACB5AFAB855}" name="Performance Rating"/>
    <tableColumn id="9" xr3:uid="{C8F2DE70-3FB6-4CE0-A0B7-3E004AF7CD7B}" name="Joining Month"/>
    <tableColumn id="10" xr3:uid="{87C537E7-0EDE-453A-919D-7A35CCC77525}" name="Years of Experience"/>
    <tableColumn id="11" xr3:uid="{E689B0AE-4921-41DD-942D-600549E3487D}" name="Gender"/>
    <tableColumn id="12" xr3:uid="{904963D7-B24A-4D58-B384-C9474BE9E144}" name="Employment Type"/>
    <tableColumn id="13" xr3:uid="{73CBF77A-99EB-4C4B-8141-7404E2D36A2B}" name="Leave Take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535E-85FC-47C7-ADBB-D93036DC071A}">
  <dimension ref="A1:M153"/>
  <sheetViews>
    <sheetView topLeftCell="A3" workbookViewId="0">
      <selection activeCell="A3" sqref="A3:M153"/>
    </sheetView>
  </sheetViews>
  <sheetFormatPr defaultRowHeight="14.4" x14ac:dyDescent="0.3"/>
  <cols>
    <col min="1" max="1" width="9" bestFit="1" customWidth="1"/>
    <col min="2" max="2" width="9.33203125" bestFit="1" customWidth="1"/>
    <col min="3" max="3" width="17.109375" bestFit="1" customWidth="1"/>
    <col min="4" max="4" width="15.77734375" bestFit="1" customWidth="1"/>
    <col min="5" max="5" width="11.77734375" bestFit="1" customWidth="1"/>
    <col min="6" max="6" width="18.44140625" bestFit="1" customWidth="1"/>
    <col min="7" max="7" width="11.109375" bestFit="1" customWidth="1"/>
    <col min="8" max="8" width="20.109375" bestFit="1" customWidth="1"/>
    <col min="9" max="9" width="15.44140625" bestFit="1" customWidth="1"/>
    <col min="10" max="10" width="19.6640625" bestFit="1" customWidth="1"/>
    <col min="11" max="11" width="9.33203125" bestFit="1" customWidth="1"/>
    <col min="12" max="12" width="18.6640625" bestFit="1" customWidth="1"/>
    <col min="13" max="13" width="13.6640625" bestFit="1" customWidth="1"/>
  </cols>
  <sheetData>
    <row r="1" spans="1:13" x14ac:dyDescent="0.3">
      <c r="A1" s="16" t="s">
        <v>1032</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v>1</v>
      </c>
      <c r="B4" t="s">
        <v>14</v>
      </c>
      <c r="C4" t="s">
        <v>15</v>
      </c>
      <c r="D4" t="s">
        <v>16</v>
      </c>
      <c r="E4" t="s">
        <v>17</v>
      </c>
      <c r="F4" t="s">
        <v>18</v>
      </c>
      <c r="G4">
        <v>60000</v>
      </c>
      <c r="H4" t="s">
        <v>19</v>
      </c>
      <c r="I4" t="s">
        <v>20</v>
      </c>
      <c r="J4">
        <v>1</v>
      </c>
      <c r="K4" t="s">
        <v>21</v>
      </c>
      <c r="L4" t="s">
        <v>22</v>
      </c>
      <c r="M4">
        <v>6</v>
      </c>
    </row>
    <row r="5" spans="1:13" x14ac:dyDescent="0.3">
      <c r="A5">
        <v>538</v>
      </c>
      <c r="B5" t="s">
        <v>1017</v>
      </c>
      <c r="C5" t="s">
        <v>1018</v>
      </c>
      <c r="D5" t="s">
        <v>66</v>
      </c>
      <c r="E5" t="s">
        <v>45</v>
      </c>
      <c r="F5" t="s">
        <v>279</v>
      </c>
      <c r="G5">
        <v>104000</v>
      </c>
      <c r="H5" t="s">
        <v>19</v>
      </c>
      <c r="I5" t="s">
        <v>959</v>
      </c>
      <c r="J5">
        <v>14</v>
      </c>
      <c r="K5" t="s">
        <v>21</v>
      </c>
      <c r="L5" t="s">
        <v>22</v>
      </c>
      <c r="M5">
        <v>12</v>
      </c>
    </row>
    <row r="6" spans="1:13" x14ac:dyDescent="0.3">
      <c r="A6">
        <v>536</v>
      </c>
      <c r="B6" t="s">
        <v>1013</v>
      </c>
      <c r="C6" t="s">
        <v>1014</v>
      </c>
      <c r="D6" t="s">
        <v>30</v>
      </c>
      <c r="E6" t="s">
        <v>55</v>
      </c>
      <c r="F6" t="s">
        <v>35</v>
      </c>
      <c r="G6">
        <v>22000</v>
      </c>
      <c r="H6" t="s">
        <v>19</v>
      </c>
      <c r="I6" t="s">
        <v>959</v>
      </c>
      <c r="J6">
        <v>1</v>
      </c>
      <c r="K6" t="s">
        <v>27</v>
      </c>
      <c r="L6" t="s">
        <v>22</v>
      </c>
      <c r="M6">
        <v>5</v>
      </c>
    </row>
    <row r="7" spans="1:13" x14ac:dyDescent="0.3">
      <c r="A7">
        <v>532</v>
      </c>
      <c r="B7" t="s">
        <v>1006</v>
      </c>
      <c r="C7" t="s">
        <v>1007</v>
      </c>
      <c r="D7" t="s">
        <v>49</v>
      </c>
      <c r="E7" t="s">
        <v>73</v>
      </c>
      <c r="F7" t="s">
        <v>189</v>
      </c>
      <c r="G7">
        <v>20000</v>
      </c>
      <c r="H7" t="s">
        <v>19</v>
      </c>
      <c r="I7" t="s">
        <v>959</v>
      </c>
      <c r="J7">
        <v>3</v>
      </c>
      <c r="K7" t="s">
        <v>21</v>
      </c>
      <c r="L7" t="s">
        <v>46</v>
      </c>
      <c r="M7">
        <v>10</v>
      </c>
    </row>
    <row r="8" spans="1:13" x14ac:dyDescent="0.3">
      <c r="A8">
        <v>531</v>
      </c>
      <c r="B8" t="s">
        <v>1004</v>
      </c>
      <c r="C8" t="s">
        <v>1005</v>
      </c>
      <c r="D8" t="s">
        <v>90</v>
      </c>
      <c r="E8" t="s">
        <v>60</v>
      </c>
      <c r="F8" t="s">
        <v>113</v>
      </c>
      <c r="G8">
        <v>21000</v>
      </c>
      <c r="H8" t="s">
        <v>19</v>
      </c>
      <c r="I8" t="s">
        <v>959</v>
      </c>
      <c r="J8">
        <v>14</v>
      </c>
      <c r="K8" t="s">
        <v>21</v>
      </c>
      <c r="L8" t="s">
        <v>22</v>
      </c>
      <c r="M8">
        <v>9</v>
      </c>
    </row>
    <row r="9" spans="1:13" x14ac:dyDescent="0.3">
      <c r="A9">
        <v>530</v>
      </c>
      <c r="B9" t="s">
        <v>1003</v>
      </c>
      <c r="C9" t="s">
        <v>624</v>
      </c>
      <c r="D9" t="s">
        <v>59</v>
      </c>
      <c r="E9" t="s">
        <v>25</v>
      </c>
      <c r="F9" t="s">
        <v>61</v>
      </c>
      <c r="G9">
        <v>93000</v>
      </c>
      <c r="H9" t="s">
        <v>19</v>
      </c>
      <c r="I9" t="s">
        <v>959</v>
      </c>
      <c r="J9">
        <v>10</v>
      </c>
      <c r="K9" t="s">
        <v>21</v>
      </c>
      <c r="L9" t="s">
        <v>22</v>
      </c>
      <c r="M9">
        <v>3</v>
      </c>
    </row>
    <row r="10" spans="1:13" x14ac:dyDescent="0.3">
      <c r="A10">
        <v>529</v>
      </c>
      <c r="B10" t="s">
        <v>1001</v>
      </c>
      <c r="C10" t="s">
        <v>1002</v>
      </c>
      <c r="D10" t="s">
        <v>54</v>
      </c>
      <c r="E10" t="s">
        <v>55</v>
      </c>
      <c r="F10" t="s">
        <v>247</v>
      </c>
      <c r="G10">
        <v>22000</v>
      </c>
      <c r="H10" t="s">
        <v>19</v>
      </c>
      <c r="I10" t="s">
        <v>959</v>
      </c>
      <c r="J10">
        <v>6</v>
      </c>
      <c r="K10" t="s">
        <v>27</v>
      </c>
      <c r="L10" t="s">
        <v>46</v>
      </c>
      <c r="M10">
        <v>4</v>
      </c>
    </row>
    <row r="11" spans="1:13" x14ac:dyDescent="0.3">
      <c r="A11">
        <v>8</v>
      </c>
      <c r="B11" t="s">
        <v>47</v>
      </c>
      <c r="C11" t="s">
        <v>48</v>
      </c>
      <c r="D11" t="s">
        <v>49</v>
      </c>
      <c r="E11" t="s">
        <v>50</v>
      </c>
      <c r="F11" t="s">
        <v>51</v>
      </c>
      <c r="G11">
        <v>41000</v>
      </c>
      <c r="H11" t="s">
        <v>19</v>
      </c>
      <c r="I11" t="s">
        <v>20</v>
      </c>
      <c r="J11">
        <v>6</v>
      </c>
      <c r="K11" t="s">
        <v>21</v>
      </c>
      <c r="L11" t="s">
        <v>22</v>
      </c>
      <c r="M11">
        <v>9</v>
      </c>
    </row>
    <row r="12" spans="1:13" x14ac:dyDescent="0.3">
      <c r="A12">
        <v>527</v>
      </c>
      <c r="B12" t="s">
        <v>997</v>
      </c>
      <c r="C12" t="s">
        <v>998</v>
      </c>
      <c r="D12" t="s">
        <v>16</v>
      </c>
      <c r="E12" t="s">
        <v>25</v>
      </c>
      <c r="F12" t="s">
        <v>266</v>
      </c>
      <c r="G12">
        <v>61000</v>
      </c>
      <c r="H12" t="s">
        <v>19</v>
      </c>
      <c r="I12" t="s">
        <v>959</v>
      </c>
      <c r="J12">
        <v>18</v>
      </c>
      <c r="K12" t="s">
        <v>27</v>
      </c>
      <c r="L12" t="s">
        <v>22</v>
      </c>
      <c r="M12">
        <v>8</v>
      </c>
    </row>
    <row r="13" spans="1:13" x14ac:dyDescent="0.3">
      <c r="A13">
        <v>523</v>
      </c>
      <c r="B13" t="s">
        <v>991</v>
      </c>
      <c r="C13" t="s">
        <v>547</v>
      </c>
      <c r="D13" t="s">
        <v>66</v>
      </c>
      <c r="E13" t="s">
        <v>45</v>
      </c>
      <c r="F13" t="s">
        <v>121</v>
      </c>
      <c r="G13">
        <v>48000</v>
      </c>
      <c r="H13" t="s">
        <v>19</v>
      </c>
      <c r="I13" t="s">
        <v>959</v>
      </c>
      <c r="J13">
        <v>13</v>
      </c>
      <c r="K13" t="s">
        <v>21</v>
      </c>
      <c r="L13" t="s">
        <v>57</v>
      </c>
      <c r="M13">
        <v>12</v>
      </c>
    </row>
    <row r="14" spans="1:13" x14ac:dyDescent="0.3">
      <c r="A14">
        <v>11</v>
      </c>
      <c r="B14" t="s">
        <v>62</v>
      </c>
      <c r="C14" t="s">
        <v>63</v>
      </c>
      <c r="D14" t="s">
        <v>59</v>
      </c>
      <c r="E14" t="s">
        <v>50</v>
      </c>
      <c r="F14" t="s">
        <v>61</v>
      </c>
      <c r="G14">
        <v>38000</v>
      </c>
      <c r="H14" t="s">
        <v>19</v>
      </c>
      <c r="I14" t="s">
        <v>20</v>
      </c>
      <c r="J14">
        <v>5</v>
      </c>
      <c r="K14" t="s">
        <v>27</v>
      </c>
      <c r="L14" t="s">
        <v>22</v>
      </c>
      <c r="M14">
        <v>6</v>
      </c>
    </row>
    <row r="15" spans="1:13" x14ac:dyDescent="0.3">
      <c r="A15">
        <v>516</v>
      </c>
      <c r="B15" t="s">
        <v>983</v>
      </c>
      <c r="C15" t="s">
        <v>272</v>
      </c>
      <c r="D15" t="s">
        <v>90</v>
      </c>
      <c r="E15" t="s">
        <v>50</v>
      </c>
      <c r="F15" t="s">
        <v>98</v>
      </c>
      <c r="G15">
        <v>35000</v>
      </c>
      <c r="H15" t="s">
        <v>19</v>
      </c>
      <c r="I15" t="s">
        <v>959</v>
      </c>
      <c r="J15">
        <v>9</v>
      </c>
      <c r="K15" t="s">
        <v>27</v>
      </c>
      <c r="L15" t="s">
        <v>22</v>
      </c>
      <c r="M15">
        <v>9</v>
      </c>
    </row>
    <row r="16" spans="1:13" x14ac:dyDescent="0.3">
      <c r="A16">
        <v>508</v>
      </c>
      <c r="B16" t="s">
        <v>970</v>
      </c>
      <c r="C16" t="s">
        <v>971</v>
      </c>
      <c r="D16" t="s">
        <v>59</v>
      </c>
      <c r="E16" t="s">
        <v>60</v>
      </c>
      <c r="F16" t="s">
        <v>85</v>
      </c>
      <c r="G16">
        <v>27000</v>
      </c>
      <c r="H16" t="s">
        <v>19</v>
      </c>
      <c r="I16" t="s">
        <v>959</v>
      </c>
      <c r="J16">
        <v>0</v>
      </c>
      <c r="K16" t="s">
        <v>21</v>
      </c>
      <c r="L16" t="s">
        <v>46</v>
      </c>
      <c r="M16">
        <v>6</v>
      </c>
    </row>
    <row r="17" spans="1:13" x14ac:dyDescent="0.3">
      <c r="A17">
        <v>14</v>
      </c>
      <c r="B17" t="s">
        <v>71</v>
      </c>
      <c r="C17" t="s">
        <v>72</v>
      </c>
      <c r="D17" t="s">
        <v>16</v>
      </c>
      <c r="E17" t="s">
        <v>73</v>
      </c>
      <c r="F17" t="s">
        <v>74</v>
      </c>
      <c r="G17">
        <v>85000</v>
      </c>
      <c r="H17" t="s">
        <v>19</v>
      </c>
      <c r="I17" t="s">
        <v>20</v>
      </c>
      <c r="J17">
        <v>4</v>
      </c>
      <c r="K17" t="s">
        <v>21</v>
      </c>
      <c r="L17" t="s">
        <v>46</v>
      </c>
      <c r="M17">
        <v>7</v>
      </c>
    </row>
    <row r="18" spans="1:13" x14ac:dyDescent="0.3">
      <c r="A18">
        <v>15</v>
      </c>
      <c r="B18" t="s">
        <v>75</v>
      </c>
      <c r="C18" t="s">
        <v>76</v>
      </c>
      <c r="D18" t="s">
        <v>30</v>
      </c>
      <c r="E18" t="s">
        <v>50</v>
      </c>
      <c r="F18" t="s">
        <v>77</v>
      </c>
      <c r="G18">
        <v>36000</v>
      </c>
      <c r="H18" t="s">
        <v>19</v>
      </c>
      <c r="I18" t="s">
        <v>20</v>
      </c>
      <c r="J18">
        <v>13</v>
      </c>
      <c r="K18" t="s">
        <v>27</v>
      </c>
      <c r="L18" t="s">
        <v>22</v>
      </c>
      <c r="M18">
        <v>10</v>
      </c>
    </row>
    <row r="19" spans="1:13" x14ac:dyDescent="0.3">
      <c r="A19">
        <v>506</v>
      </c>
      <c r="B19" t="s">
        <v>967</v>
      </c>
      <c r="C19" t="s">
        <v>968</v>
      </c>
      <c r="D19" t="s">
        <v>54</v>
      </c>
      <c r="E19" t="s">
        <v>17</v>
      </c>
      <c r="F19" t="s">
        <v>200</v>
      </c>
      <c r="G19">
        <v>49000</v>
      </c>
      <c r="H19" t="s">
        <v>19</v>
      </c>
      <c r="I19" t="s">
        <v>959</v>
      </c>
      <c r="J19">
        <v>6</v>
      </c>
      <c r="K19" t="s">
        <v>27</v>
      </c>
      <c r="L19" t="s">
        <v>22</v>
      </c>
      <c r="M19">
        <v>6</v>
      </c>
    </row>
    <row r="20" spans="1:13" x14ac:dyDescent="0.3">
      <c r="A20">
        <v>504</v>
      </c>
      <c r="B20" t="s">
        <v>963</v>
      </c>
      <c r="C20" t="s">
        <v>964</v>
      </c>
      <c r="D20" t="s">
        <v>59</v>
      </c>
      <c r="E20" t="s">
        <v>50</v>
      </c>
      <c r="F20" t="s">
        <v>61</v>
      </c>
      <c r="G20">
        <v>86000</v>
      </c>
      <c r="H20" t="s">
        <v>19</v>
      </c>
      <c r="I20" t="s">
        <v>959</v>
      </c>
      <c r="J20">
        <v>2</v>
      </c>
      <c r="K20" t="s">
        <v>27</v>
      </c>
      <c r="L20" t="s">
        <v>46</v>
      </c>
      <c r="M20">
        <v>9</v>
      </c>
    </row>
    <row r="21" spans="1:13" x14ac:dyDescent="0.3">
      <c r="A21">
        <v>503</v>
      </c>
      <c r="B21" t="s">
        <v>962</v>
      </c>
      <c r="C21" t="s">
        <v>957</v>
      </c>
      <c r="D21" t="s">
        <v>16</v>
      </c>
      <c r="E21" t="s">
        <v>17</v>
      </c>
      <c r="F21" t="s">
        <v>74</v>
      </c>
      <c r="G21">
        <v>30000</v>
      </c>
      <c r="H21" t="s">
        <v>19</v>
      </c>
      <c r="I21" t="s">
        <v>959</v>
      </c>
      <c r="J21">
        <v>4</v>
      </c>
      <c r="K21" t="s">
        <v>27</v>
      </c>
      <c r="L21" t="s">
        <v>22</v>
      </c>
      <c r="M21">
        <v>6</v>
      </c>
    </row>
    <row r="22" spans="1:13" x14ac:dyDescent="0.3">
      <c r="A22">
        <v>497</v>
      </c>
      <c r="B22" t="s">
        <v>951</v>
      </c>
      <c r="C22" t="s">
        <v>952</v>
      </c>
      <c r="D22" t="s">
        <v>66</v>
      </c>
      <c r="E22" t="s">
        <v>45</v>
      </c>
      <c r="F22" t="s">
        <v>153</v>
      </c>
      <c r="G22">
        <v>64000</v>
      </c>
      <c r="H22" t="s">
        <v>19</v>
      </c>
      <c r="I22" t="s">
        <v>885</v>
      </c>
      <c r="J22">
        <v>16</v>
      </c>
      <c r="K22" t="s">
        <v>21</v>
      </c>
      <c r="L22" t="s">
        <v>57</v>
      </c>
      <c r="M22">
        <v>5</v>
      </c>
    </row>
    <row r="23" spans="1:13" x14ac:dyDescent="0.3">
      <c r="A23">
        <v>484</v>
      </c>
      <c r="B23" t="s">
        <v>931</v>
      </c>
      <c r="C23" t="s">
        <v>932</v>
      </c>
      <c r="D23" t="s">
        <v>30</v>
      </c>
      <c r="E23" t="s">
        <v>73</v>
      </c>
      <c r="F23" t="s">
        <v>35</v>
      </c>
      <c r="G23">
        <v>55000</v>
      </c>
      <c r="H23" t="s">
        <v>19</v>
      </c>
      <c r="I23" t="s">
        <v>885</v>
      </c>
      <c r="J23">
        <v>10</v>
      </c>
      <c r="K23" t="s">
        <v>27</v>
      </c>
      <c r="L23" t="s">
        <v>22</v>
      </c>
      <c r="M23">
        <v>8</v>
      </c>
    </row>
    <row r="24" spans="1:13" x14ac:dyDescent="0.3">
      <c r="A24">
        <v>480</v>
      </c>
      <c r="B24" t="s">
        <v>925</v>
      </c>
      <c r="C24" t="s">
        <v>926</v>
      </c>
      <c r="D24" t="s">
        <v>49</v>
      </c>
      <c r="E24" t="s">
        <v>55</v>
      </c>
      <c r="F24" t="s">
        <v>51</v>
      </c>
      <c r="G24">
        <v>54000</v>
      </c>
      <c r="H24" t="s">
        <v>19</v>
      </c>
      <c r="I24" t="s">
        <v>885</v>
      </c>
      <c r="J24">
        <v>11</v>
      </c>
      <c r="K24" t="s">
        <v>21</v>
      </c>
      <c r="L24" t="s">
        <v>22</v>
      </c>
      <c r="M24">
        <v>4</v>
      </c>
    </row>
    <row r="25" spans="1:13" x14ac:dyDescent="0.3">
      <c r="A25">
        <v>479</v>
      </c>
      <c r="B25" t="s">
        <v>923</v>
      </c>
      <c r="C25" t="s">
        <v>924</v>
      </c>
      <c r="D25" t="s">
        <v>30</v>
      </c>
      <c r="E25" t="s">
        <v>60</v>
      </c>
      <c r="F25" t="s">
        <v>118</v>
      </c>
      <c r="G25">
        <v>73000</v>
      </c>
      <c r="H25" t="s">
        <v>19</v>
      </c>
      <c r="I25" t="s">
        <v>885</v>
      </c>
      <c r="J25">
        <v>2</v>
      </c>
      <c r="K25" t="s">
        <v>21</v>
      </c>
      <c r="L25" t="s">
        <v>57</v>
      </c>
      <c r="M25">
        <v>4</v>
      </c>
    </row>
    <row r="26" spans="1:13" x14ac:dyDescent="0.3">
      <c r="A26">
        <v>477</v>
      </c>
      <c r="B26" t="s">
        <v>920</v>
      </c>
      <c r="C26" t="s">
        <v>838</v>
      </c>
      <c r="D26" t="s">
        <v>54</v>
      </c>
      <c r="E26" t="s">
        <v>39</v>
      </c>
      <c r="F26" t="s">
        <v>247</v>
      </c>
      <c r="G26">
        <v>20000</v>
      </c>
      <c r="H26" t="s">
        <v>19</v>
      </c>
      <c r="I26" t="s">
        <v>885</v>
      </c>
      <c r="J26">
        <v>13</v>
      </c>
      <c r="K26" t="s">
        <v>27</v>
      </c>
      <c r="L26" t="s">
        <v>22</v>
      </c>
      <c r="M26">
        <v>6</v>
      </c>
    </row>
    <row r="27" spans="1:13" x14ac:dyDescent="0.3">
      <c r="A27">
        <v>476</v>
      </c>
      <c r="B27" t="s">
        <v>919</v>
      </c>
      <c r="C27" t="s">
        <v>818</v>
      </c>
      <c r="D27" t="s">
        <v>101</v>
      </c>
      <c r="E27" t="s">
        <v>55</v>
      </c>
      <c r="F27" t="s">
        <v>126</v>
      </c>
      <c r="G27">
        <v>37000</v>
      </c>
      <c r="H27" t="s">
        <v>19</v>
      </c>
      <c r="I27" t="s">
        <v>885</v>
      </c>
      <c r="J27">
        <v>3</v>
      </c>
      <c r="K27" t="s">
        <v>27</v>
      </c>
      <c r="L27" t="s">
        <v>22</v>
      </c>
      <c r="M27">
        <v>0</v>
      </c>
    </row>
    <row r="28" spans="1:13" x14ac:dyDescent="0.3">
      <c r="A28">
        <v>475</v>
      </c>
      <c r="B28" t="s">
        <v>917</v>
      </c>
      <c r="C28" t="s">
        <v>918</v>
      </c>
      <c r="D28" t="s">
        <v>16</v>
      </c>
      <c r="E28" t="s">
        <v>73</v>
      </c>
      <c r="F28" t="s">
        <v>74</v>
      </c>
      <c r="G28">
        <v>30000</v>
      </c>
      <c r="H28" t="s">
        <v>19</v>
      </c>
      <c r="I28" t="s">
        <v>885</v>
      </c>
      <c r="J28">
        <v>0</v>
      </c>
      <c r="K28" t="s">
        <v>21</v>
      </c>
      <c r="L28" t="s">
        <v>22</v>
      </c>
      <c r="M28">
        <v>6</v>
      </c>
    </row>
    <row r="29" spans="1:13" x14ac:dyDescent="0.3">
      <c r="A29">
        <v>472</v>
      </c>
      <c r="B29" t="s">
        <v>913</v>
      </c>
      <c r="C29" t="s">
        <v>914</v>
      </c>
      <c r="D29" t="s">
        <v>30</v>
      </c>
      <c r="E29" t="s">
        <v>17</v>
      </c>
      <c r="F29" t="s">
        <v>118</v>
      </c>
      <c r="G29">
        <v>74000</v>
      </c>
      <c r="H29" t="s">
        <v>19</v>
      </c>
      <c r="I29" t="s">
        <v>885</v>
      </c>
      <c r="J29">
        <v>4</v>
      </c>
      <c r="K29" t="s">
        <v>21</v>
      </c>
      <c r="L29" t="s">
        <v>22</v>
      </c>
      <c r="M29">
        <v>7</v>
      </c>
    </row>
    <row r="30" spans="1:13" x14ac:dyDescent="0.3">
      <c r="A30">
        <v>471</v>
      </c>
      <c r="B30" t="s">
        <v>911</v>
      </c>
      <c r="C30" t="s">
        <v>912</v>
      </c>
      <c r="D30" t="s">
        <v>90</v>
      </c>
      <c r="E30" t="s">
        <v>50</v>
      </c>
      <c r="F30" t="s">
        <v>113</v>
      </c>
      <c r="G30">
        <v>53000</v>
      </c>
      <c r="H30" t="s">
        <v>19</v>
      </c>
      <c r="I30" t="s">
        <v>885</v>
      </c>
      <c r="J30">
        <v>4</v>
      </c>
      <c r="K30" t="s">
        <v>27</v>
      </c>
      <c r="L30" t="s">
        <v>22</v>
      </c>
      <c r="M30">
        <v>10</v>
      </c>
    </row>
    <row r="31" spans="1:13" x14ac:dyDescent="0.3">
      <c r="A31">
        <v>467</v>
      </c>
      <c r="B31" t="s">
        <v>905</v>
      </c>
      <c r="C31" t="s">
        <v>851</v>
      </c>
      <c r="D31" t="s">
        <v>30</v>
      </c>
      <c r="E31" t="s">
        <v>50</v>
      </c>
      <c r="F31" t="s">
        <v>118</v>
      </c>
      <c r="G31">
        <v>50000</v>
      </c>
      <c r="H31" t="s">
        <v>19</v>
      </c>
      <c r="I31" t="s">
        <v>885</v>
      </c>
      <c r="J31">
        <v>15</v>
      </c>
      <c r="K31" t="s">
        <v>27</v>
      </c>
      <c r="L31" t="s">
        <v>22</v>
      </c>
      <c r="M31">
        <v>12</v>
      </c>
    </row>
    <row r="32" spans="1:13" x14ac:dyDescent="0.3">
      <c r="A32">
        <v>454</v>
      </c>
      <c r="B32" t="s">
        <v>883</v>
      </c>
      <c r="C32" t="s">
        <v>884</v>
      </c>
      <c r="D32" t="s">
        <v>16</v>
      </c>
      <c r="E32" t="s">
        <v>45</v>
      </c>
      <c r="F32" t="s">
        <v>266</v>
      </c>
      <c r="G32">
        <v>37000</v>
      </c>
      <c r="H32" t="s">
        <v>19</v>
      </c>
      <c r="I32" t="s">
        <v>885</v>
      </c>
      <c r="J32">
        <v>6</v>
      </c>
      <c r="K32" t="s">
        <v>27</v>
      </c>
      <c r="L32" t="s">
        <v>22</v>
      </c>
      <c r="M32">
        <v>1</v>
      </c>
    </row>
    <row r="33" spans="1:13" x14ac:dyDescent="0.3">
      <c r="A33">
        <v>451</v>
      </c>
      <c r="B33" t="s">
        <v>879</v>
      </c>
      <c r="C33" t="s">
        <v>104</v>
      </c>
      <c r="D33" t="s">
        <v>59</v>
      </c>
      <c r="E33" t="s">
        <v>50</v>
      </c>
      <c r="F33" t="s">
        <v>80</v>
      </c>
      <c r="G33">
        <v>37000</v>
      </c>
      <c r="H33" t="s">
        <v>19</v>
      </c>
      <c r="I33" t="s">
        <v>806</v>
      </c>
      <c r="J33">
        <v>6</v>
      </c>
      <c r="K33" t="s">
        <v>21</v>
      </c>
      <c r="L33" t="s">
        <v>22</v>
      </c>
      <c r="M33">
        <v>7</v>
      </c>
    </row>
    <row r="34" spans="1:13" x14ac:dyDescent="0.3">
      <c r="A34">
        <v>31</v>
      </c>
      <c r="B34" t="s">
        <v>119</v>
      </c>
      <c r="C34" t="s">
        <v>120</v>
      </c>
      <c r="D34" t="s">
        <v>66</v>
      </c>
      <c r="E34" t="s">
        <v>39</v>
      </c>
      <c r="F34" t="s">
        <v>121</v>
      </c>
      <c r="G34">
        <v>98000</v>
      </c>
      <c r="H34" t="s">
        <v>19</v>
      </c>
      <c r="I34" t="s">
        <v>20</v>
      </c>
      <c r="J34">
        <v>14</v>
      </c>
      <c r="K34" t="s">
        <v>27</v>
      </c>
      <c r="L34" t="s">
        <v>22</v>
      </c>
      <c r="M34">
        <v>12</v>
      </c>
    </row>
    <row r="35" spans="1:13" x14ac:dyDescent="0.3">
      <c r="A35">
        <v>447</v>
      </c>
      <c r="B35" t="s">
        <v>873</v>
      </c>
      <c r="C35" t="s">
        <v>488</v>
      </c>
      <c r="D35" t="s">
        <v>90</v>
      </c>
      <c r="E35" t="s">
        <v>60</v>
      </c>
      <c r="F35" t="s">
        <v>98</v>
      </c>
      <c r="G35">
        <v>25000</v>
      </c>
      <c r="H35" t="s">
        <v>19</v>
      </c>
      <c r="I35" t="s">
        <v>806</v>
      </c>
      <c r="J35">
        <v>13</v>
      </c>
      <c r="K35" t="s">
        <v>27</v>
      </c>
      <c r="L35" t="s">
        <v>22</v>
      </c>
      <c r="M35">
        <v>10</v>
      </c>
    </row>
    <row r="36" spans="1:13" x14ac:dyDescent="0.3">
      <c r="A36">
        <v>33</v>
      </c>
      <c r="B36" t="s">
        <v>124</v>
      </c>
      <c r="C36" t="s">
        <v>125</v>
      </c>
      <c r="D36" t="s">
        <v>101</v>
      </c>
      <c r="E36" t="s">
        <v>55</v>
      </c>
      <c r="F36" t="s">
        <v>126</v>
      </c>
      <c r="G36">
        <v>86000</v>
      </c>
      <c r="H36" t="s">
        <v>19</v>
      </c>
      <c r="I36" t="s">
        <v>20</v>
      </c>
      <c r="J36">
        <v>12</v>
      </c>
      <c r="K36" t="s">
        <v>27</v>
      </c>
      <c r="L36" t="s">
        <v>22</v>
      </c>
      <c r="M36">
        <v>7</v>
      </c>
    </row>
    <row r="37" spans="1:13" x14ac:dyDescent="0.3">
      <c r="A37">
        <v>446</v>
      </c>
      <c r="B37" t="s">
        <v>871</v>
      </c>
      <c r="C37" t="s">
        <v>872</v>
      </c>
      <c r="D37" t="s">
        <v>90</v>
      </c>
      <c r="E37" t="s">
        <v>39</v>
      </c>
      <c r="F37" t="s">
        <v>105</v>
      </c>
      <c r="G37">
        <v>19000</v>
      </c>
      <c r="H37" t="s">
        <v>19</v>
      </c>
      <c r="I37" t="s">
        <v>806</v>
      </c>
      <c r="J37">
        <v>17</v>
      </c>
      <c r="K37" t="s">
        <v>21</v>
      </c>
      <c r="L37" t="s">
        <v>22</v>
      </c>
      <c r="M37">
        <v>6</v>
      </c>
    </row>
    <row r="38" spans="1:13" x14ac:dyDescent="0.3">
      <c r="A38">
        <v>443</v>
      </c>
      <c r="B38" t="s">
        <v>867</v>
      </c>
      <c r="C38" t="s">
        <v>597</v>
      </c>
      <c r="D38" t="s">
        <v>66</v>
      </c>
      <c r="E38" t="s">
        <v>55</v>
      </c>
      <c r="F38" t="s">
        <v>67</v>
      </c>
      <c r="G38">
        <v>64000</v>
      </c>
      <c r="H38" t="s">
        <v>19</v>
      </c>
      <c r="I38" t="s">
        <v>806</v>
      </c>
      <c r="J38">
        <v>7</v>
      </c>
      <c r="K38" t="s">
        <v>27</v>
      </c>
      <c r="L38" t="s">
        <v>22</v>
      </c>
      <c r="M38">
        <v>3</v>
      </c>
    </row>
    <row r="39" spans="1:13" x14ac:dyDescent="0.3">
      <c r="A39">
        <v>441</v>
      </c>
      <c r="B39" t="s">
        <v>864</v>
      </c>
      <c r="C39" t="s">
        <v>865</v>
      </c>
      <c r="D39" t="s">
        <v>54</v>
      </c>
      <c r="E39" t="s">
        <v>50</v>
      </c>
      <c r="F39" t="s">
        <v>56</v>
      </c>
      <c r="G39">
        <v>22000</v>
      </c>
      <c r="H39" t="s">
        <v>19</v>
      </c>
      <c r="I39" t="s">
        <v>806</v>
      </c>
      <c r="J39">
        <v>4</v>
      </c>
      <c r="K39" t="s">
        <v>21</v>
      </c>
      <c r="L39" t="s">
        <v>22</v>
      </c>
      <c r="M39">
        <v>11</v>
      </c>
    </row>
    <row r="40" spans="1:13" x14ac:dyDescent="0.3">
      <c r="A40">
        <v>437</v>
      </c>
      <c r="B40" t="s">
        <v>857</v>
      </c>
      <c r="C40" t="s">
        <v>858</v>
      </c>
      <c r="D40" t="s">
        <v>30</v>
      </c>
      <c r="E40" t="s">
        <v>45</v>
      </c>
      <c r="F40" t="s">
        <v>31</v>
      </c>
      <c r="G40">
        <v>49000</v>
      </c>
      <c r="H40" t="s">
        <v>19</v>
      </c>
      <c r="I40" t="s">
        <v>806</v>
      </c>
      <c r="J40">
        <v>11</v>
      </c>
      <c r="K40" t="s">
        <v>21</v>
      </c>
      <c r="L40" t="s">
        <v>22</v>
      </c>
      <c r="M40">
        <v>12</v>
      </c>
    </row>
    <row r="41" spans="1:13" x14ac:dyDescent="0.3">
      <c r="A41">
        <v>38</v>
      </c>
      <c r="B41" t="s">
        <v>135</v>
      </c>
      <c r="C41" t="s">
        <v>136</v>
      </c>
      <c r="D41" t="s">
        <v>16</v>
      </c>
      <c r="E41" t="s">
        <v>17</v>
      </c>
      <c r="F41" t="s">
        <v>42</v>
      </c>
      <c r="G41">
        <v>60000</v>
      </c>
      <c r="H41" t="s">
        <v>19</v>
      </c>
      <c r="I41" t="s">
        <v>20</v>
      </c>
      <c r="J41">
        <v>4</v>
      </c>
      <c r="K41" t="s">
        <v>27</v>
      </c>
      <c r="L41" t="s">
        <v>22</v>
      </c>
      <c r="M41">
        <v>7</v>
      </c>
    </row>
    <row r="42" spans="1:13" x14ac:dyDescent="0.3">
      <c r="A42">
        <v>436</v>
      </c>
      <c r="B42" t="s">
        <v>855</v>
      </c>
      <c r="C42" t="s">
        <v>856</v>
      </c>
      <c r="D42" t="s">
        <v>59</v>
      </c>
      <c r="E42" t="s">
        <v>60</v>
      </c>
      <c r="F42" t="s">
        <v>61</v>
      </c>
      <c r="G42">
        <v>29000</v>
      </c>
      <c r="H42" t="s">
        <v>19</v>
      </c>
      <c r="I42" t="s">
        <v>806</v>
      </c>
      <c r="J42">
        <v>15</v>
      </c>
      <c r="K42" t="s">
        <v>27</v>
      </c>
      <c r="L42" t="s">
        <v>57</v>
      </c>
      <c r="M42">
        <v>3</v>
      </c>
    </row>
    <row r="43" spans="1:13" x14ac:dyDescent="0.3">
      <c r="A43">
        <v>40</v>
      </c>
      <c r="B43" t="s">
        <v>139</v>
      </c>
      <c r="C43" t="s">
        <v>140</v>
      </c>
      <c r="D43" t="s">
        <v>49</v>
      </c>
      <c r="E43" t="s">
        <v>55</v>
      </c>
      <c r="F43" t="s">
        <v>70</v>
      </c>
      <c r="G43">
        <v>51000</v>
      </c>
      <c r="H43" t="s">
        <v>19</v>
      </c>
      <c r="I43" t="s">
        <v>20</v>
      </c>
      <c r="J43">
        <v>15</v>
      </c>
      <c r="K43" t="s">
        <v>21</v>
      </c>
      <c r="L43" t="s">
        <v>22</v>
      </c>
      <c r="M43">
        <v>1</v>
      </c>
    </row>
    <row r="44" spans="1:13" x14ac:dyDescent="0.3">
      <c r="A44">
        <v>41</v>
      </c>
      <c r="B44" t="s">
        <v>141</v>
      </c>
      <c r="C44" t="s">
        <v>142</v>
      </c>
      <c r="D44" t="s">
        <v>16</v>
      </c>
      <c r="E44" t="s">
        <v>45</v>
      </c>
      <c r="F44" t="s">
        <v>18</v>
      </c>
      <c r="G44">
        <v>67000</v>
      </c>
      <c r="H44" t="s">
        <v>19</v>
      </c>
      <c r="I44" t="s">
        <v>20</v>
      </c>
      <c r="J44">
        <v>12</v>
      </c>
      <c r="K44" t="s">
        <v>21</v>
      </c>
      <c r="L44" t="s">
        <v>22</v>
      </c>
      <c r="M44">
        <v>8</v>
      </c>
    </row>
    <row r="45" spans="1:13" x14ac:dyDescent="0.3">
      <c r="A45">
        <v>435</v>
      </c>
      <c r="B45" t="s">
        <v>854</v>
      </c>
      <c r="C45" t="s">
        <v>799</v>
      </c>
      <c r="D45" t="s">
        <v>49</v>
      </c>
      <c r="E45" t="s">
        <v>45</v>
      </c>
      <c r="F45" t="s">
        <v>108</v>
      </c>
      <c r="G45">
        <v>49000</v>
      </c>
      <c r="H45" t="s">
        <v>19</v>
      </c>
      <c r="I45" t="s">
        <v>806</v>
      </c>
      <c r="J45">
        <v>13</v>
      </c>
      <c r="K45" t="s">
        <v>27</v>
      </c>
      <c r="L45" t="s">
        <v>22</v>
      </c>
      <c r="M45">
        <v>12</v>
      </c>
    </row>
    <row r="46" spans="1:13" x14ac:dyDescent="0.3">
      <c r="A46">
        <v>429</v>
      </c>
      <c r="B46" t="s">
        <v>842</v>
      </c>
      <c r="C46" t="s">
        <v>843</v>
      </c>
      <c r="D46" t="s">
        <v>54</v>
      </c>
      <c r="E46" t="s">
        <v>45</v>
      </c>
      <c r="F46" t="s">
        <v>247</v>
      </c>
      <c r="G46">
        <v>48000</v>
      </c>
      <c r="H46" t="s">
        <v>19</v>
      </c>
      <c r="I46" t="s">
        <v>806</v>
      </c>
      <c r="J46">
        <v>17</v>
      </c>
      <c r="K46" t="s">
        <v>21</v>
      </c>
      <c r="L46" t="s">
        <v>46</v>
      </c>
      <c r="M46">
        <v>0</v>
      </c>
    </row>
    <row r="47" spans="1:13" x14ac:dyDescent="0.3">
      <c r="A47">
        <v>425</v>
      </c>
      <c r="B47" t="s">
        <v>835</v>
      </c>
      <c r="C47" t="s">
        <v>836</v>
      </c>
      <c r="D47" t="s">
        <v>54</v>
      </c>
      <c r="E47" t="s">
        <v>45</v>
      </c>
      <c r="F47" t="s">
        <v>158</v>
      </c>
      <c r="G47">
        <v>73000</v>
      </c>
      <c r="H47" t="s">
        <v>19</v>
      </c>
      <c r="I47" t="s">
        <v>806</v>
      </c>
      <c r="J47">
        <v>16</v>
      </c>
      <c r="K47" t="s">
        <v>21</v>
      </c>
      <c r="L47" t="s">
        <v>22</v>
      </c>
      <c r="M47">
        <v>11</v>
      </c>
    </row>
    <row r="48" spans="1:13" x14ac:dyDescent="0.3">
      <c r="A48">
        <v>424</v>
      </c>
      <c r="B48" t="s">
        <v>834</v>
      </c>
      <c r="C48" t="s">
        <v>65</v>
      </c>
      <c r="D48" t="s">
        <v>54</v>
      </c>
      <c r="E48" t="s">
        <v>50</v>
      </c>
      <c r="F48" t="s">
        <v>247</v>
      </c>
      <c r="G48">
        <v>53000</v>
      </c>
      <c r="H48" t="s">
        <v>19</v>
      </c>
      <c r="I48" t="s">
        <v>806</v>
      </c>
      <c r="J48">
        <v>4</v>
      </c>
      <c r="K48" t="s">
        <v>27</v>
      </c>
      <c r="L48" t="s">
        <v>22</v>
      </c>
      <c r="M48">
        <v>0</v>
      </c>
    </row>
    <row r="49" spans="1:13" x14ac:dyDescent="0.3">
      <c r="A49">
        <v>423</v>
      </c>
      <c r="B49" t="s">
        <v>832</v>
      </c>
      <c r="C49" t="s">
        <v>833</v>
      </c>
      <c r="D49" t="s">
        <v>59</v>
      </c>
      <c r="E49" t="s">
        <v>50</v>
      </c>
      <c r="F49" t="s">
        <v>80</v>
      </c>
      <c r="G49">
        <v>35000</v>
      </c>
      <c r="H49" t="s">
        <v>19</v>
      </c>
      <c r="I49" t="s">
        <v>806</v>
      </c>
      <c r="J49">
        <v>9</v>
      </c>
      <c r="K49" t="s">
        <v>27</v>
      </c>
      <c r="L49" t="s">
        <v>57</v>
      </c>
      <c r="M49">
        <v>1</v>
      </c>
    </row>
    <row r="50" spans="1:13" x14ac:dyDescent="0.3">
      <c r="A50">
        <v>422</v>
      </c>
      <c r="B50" t="s">
        <v>830</v>
      </c>
      <c r="C50" t="s">
        <v>831</v>
      </c>
      <c r="D50" t="s">
        <v>59</v>
      </c>
      <c r="E50" t="s">
        <v>73</v>
      </c>
      <c r="F50" t="s">
        <v>61</v>
      </c>
      <c r="G50">
        <v>76000</v>
      </c>
      <c r="H50" t="s">
        <v>19</v>
      </c>
      <c r="I50" t="s">
        <v>806</v>
      </c>
      <c r="J50">
        <v>14</v>
      </c>
      <c r="K50" t="s">
        <v>27</v>
      </c>
      <c r="L50" t="s">
        <v>22</v>
      </c>
      <c r="M50">
        <v>1</v>
      </c>
    </row>
    <row r="51" spans="1:13" x14ac:dyDescent="0.3">
      <c r="A51">
        <v>420</v>
      </c>
      <c r="B51" t="s">
        <v>827</v>
      </c>
      <c r="C51" t="s">
        <v>321</v>
      </c>
      <c r="D51" t="s">
        <v>66</v>
      </c>
      <c r="E51" t="s">
        <v>39</v>
      </c>
      <c r="F51" t="s">
        <v>67</v>
      </c>
      <c r="G51">
        <v>107000</v>
      </c>
      <c r="H51" t="s">
        <v>19</v>
      </c>
      <c r="I51" t="s">
        <v>806</v>
      </c>
      <c r="J51">
        <v>1</v>
      </c>
      <c r="K51" t="s">
        <v>21</v>
      </c>
      <c r="L51" t="s">
        <v>22</v>
      </c>
      <c r="M51">
        <v>4</v>
      </c>
    </row>
    <row r="52" spans="1:13" x14ac:dyDescent="0.3">
      <c r="A52">
        <v>49</v>
      </c>
      <c r="B52" t="s">
        <v>162</v>
      </c>
      <c r="C52" t="s">
        <v>163</v>
      </c>
      <c r="D52" t="s">
        <v>90</v>
      </c>
      <c r="E52" t="s">
        <v>60</v>
      </c>
      <c r="F52" t="s">
        <v>105</v>
      </c>
      <c r="G52">
        <v>30000</v>
      </c>
      <c r="H52" t="s">
        <v>19</v>
      </c>
      <c r="I52" t="s">
        <v>148</v>
      </c>
      <c r="J52">
        <v>12</v>
      </c>
      <c r="K52" t="s">
        <v>21</v>
      </c>
      <c r="L52" t="s">
        <v>22</v>
      </c>
      <c r="M52">
        <v>7</v>
      </c>
    </row>
    <row r="53" spans="1:13" x14ac:dyDescent="0.3">
      <c r="A53">
        <v>417</v>
      </c>
      <c r="B53" t="s">
        <v>823</v>
      </c>
      <c r="C53" t="s">
        <v>691</v>
      </c>
      <c r="D53" t="s">
        <v>54</v>
      </c>
      <c r="E53" t="s">
        <v>55</v>
      </c>
      <c r="F53" t="s">
        <v>56</v>
      </c>
      <c r="G53">
        <v>66000</v>
      </c>
      <c r="H53" t="s">
        <v>19</v>
      </c>
      <c r="I53" t="s">
        <v>806</v>
      </c>
      <c r="J53">
        <v>8</v>
      </c>
      <c r="K53" t="s">
        <v>27</v>
      </c>
      <c r="L53" t="s">
        <v>57</v>
      </c>
      <c r="M53">
        <v>0</v>
      </c>
    </row>
    <row r="54" spans="1:13" x14ac:dyDescent="0.3">
      <c r="A54">
        <v>415</v>
      </c>
      <c r="B54" t="s">
        <v>821</v>
      </c>
      <c r="C54" t="s">
        <v>600</v>
      </c>
      <c r="D54" t="s">
        <v>16</v>
      </c>
      <c r="E54" t="s">
        <v>45</v>
      </c>
      <c r="F54" t="s">
        <v>266</v>
      </c>
      <c r="G54">
        <v>61000</v>
      </c>
      <c r="H54" t="s">
        <v>19</v>
      </c>
      <c r="I54" t="s">
        <v>806</v>
      </c>
      <c r="J54">
        <v>0</v>
      </c>
      <c r="K54" t="s">
        <v>27</v>
      </c>
      <c r="L54" t="s">
        <v>22</v>
      </c>
      <c r="M54">
        <v>6</v>
      </c>
    </row>
    <row r="55" spans="1:13" x14ac:dyDescent="0.3">
      <c r="A55">
        <v>414</v>
      </c>
      <c r="B55" t="s">
        <v>819</v>
      </c>
      <c r="C55" t="s">
        <v>820</v>
      </c>
      <c r="D55" t="s">
        <v>16</v>
      </c>
      <c r="E55" t="s">
        <v>39</v>
      </c>
      <c r="F55" t="s">
        <v>42</v>
      </c>
      <c r="G55">
        <v>96000</v>
      </c>
      <c r="H55" t="s">
        <v>19</v>
      </c>
      <c r="I55" t="s">
        <v>806</v>
      </c>
      <c r="J55">
        <v>8</v>
      </c>
      <c r="K55" t="s">
        <v>21</v>
      </c>
      <c r="L55" t="s">
        <v>22</v>
      </c>
      <c r="M55">
        <v>2</v>
      </c>
    </row>
    <row r="56" spans="1:13" x14ac:dyDescent="0.3">
      <c r="A56">
        <v>408</v>
      </c>
      <c r="B56" t="s">
        <v>809</v>
      </c>
      <c r="C56" t="s">
        <v>735</v>
      </c>
      <c r="D56" t="s">
        <v>66</v>
      </c>
      <c r="E56" t="s">
        <v>60</v>
      </c>
      <c r="F56" t="s">
        <v>67</v>
      </c>
      <c r="G56">
        <v>46000</v>
      </c>
      <c r="H56" t="s">
        <v>19</v>
      </c>
      <c r="I56" t="s">
        <v>806</v>
      </c>
      <c r="J56">
        <v>9</v>
      </c>
      <c r="K56" t="s">
        <v>21</v>
      </c>
      <c r="L56" t="s">
        <v>22</v>
      </c>
      <c r="M56">
        <v>0</v>
      </c>
    </row>
    <row r="57" spans="1:13" x14ac:dyDescent="0.3">
      <c r="A57">
        <v>54</v>
      </c>
      <c r="B57" t="s">
        <v>172</v>
      </c>
      <c r="C57" t="s">
        <v>173</v>
      </c>
      <c r="D57" t="s">
        <v>101</v>
      </c>
      <c r="E57" t="s">
        <v>25</v>
      </c>
      <c r="F57" t="s">
        <v>102</v>
      </c>
      <c r="G57">
        <v>142000</v>
      </c>
      <c r="H57" t="s">
        <v>19</v>
      </c>
      <c r="I57" t="s">
        <v>148</v>
      </c>
      <c r="J57">
        <v>5</v>
      </c>
      <c r="K57" t="s">
        <v>21</v>
      </c>
      <c r="L57" t="s">
        <v>46</v>
      </c>
      <c r="M57">
        <v>8</v>
      </c>
    </row>
    <row r="58" spans="1:13" x14ac:dyDescent="0.3">
      <c r="A58">
        <v>401</v>
      </c>
      <c r="B58" t="s">
        <v>796</v>
      </c>
      <c r="C58" t="s">
        <v>797</v>
      </c>
      <c r="D58" t="s">
        <v>54</v>
      </c>
      <c r="E58" t="s">
        <v>45</v>
      </c>
      <c r="F58" t="s">
        <v>158</v>
      </c>
      <c r="G58">
        <v>34000</v>
      </c>
      <c r="H58" t="s">
        <v>19</v>
      </c>
      <c r="I58" t="s">
        <v>739</v>
      </c>
      <c r="J58">
        <v>18</v>
      </c>
      <c r="K58" t="s">
        <v>21</v>
      </c>
      <c r="L58" t="s">
        <v>46</v>
      </c>
      <c r="M58">
        <v>9</v>
      </c>
    </row>
    <row r="59" spans="1:13" x14ac:dyDescent="0.3">
      <c r="A59">
        <v>400</v>
      </c>
      <c r="B59" t="s">
        <v>794</v>
      </c>
      <c r="C59" t="s">
        <v>795</v>
      </c>
      <c r="D59" t="s">
        <v>101</v>
      </c>
      <c r="E59" t="s">
        <v>60</v>
      </c>
      <c r="F59" t="s">
        <v>147</v>
      </c>
      <c r="G59">
        <v>113000</v>
      </c>
      <c r="H59" t="s">
        <v>19</v>
      </c>
      <c r="I59" t="s">
        <v>739</v>
      </c>
      <c r="J59">
        <v>1</v>
      </c>
      <c r="K59" t="s">
        <v>21</v>
      </c>
      <c r="L59" t="s">
        <v>22</v>
      </c>
      <c r="M59">
        <v>7</v>
      </c>
    </row>
    <row r="60" spans="1:13" x14ac:dyDescent="0.3">
      <c r="A60">
        <v>399</v>
      </c>
      <c r="B60" t="s">
        <v>793</v>
      </c>
      <c r="C60" t="s">
        <v>191</v>
      </c>
      <c r="D60" t="s">
        <v>66</v>
      </c>
      <c r="E60" t="s">
        <v>25</v>
      </c>
      <c r="F60" t="s">
        <v>279</v>
      </c>
      <c r="G60">
        <v>106000</v>
      </c>
      <c r="H60" t="s">
        <v>19</v>
      </c>
      <c r="I60" t="s">
        <v>739</v>
      </c>
      <c r="J60">
        <v>17</v>
      </c>
      <c r="K60" t="s">
        <v>27</v>
      </c>
      <c r="L60" t="s">
        <v>22</v>
      </c>
      <c r="M60">
        <v>6</v>
      </c>
    </row>
    <row r="61" spans="1:13" x14ac:dyDescent="0.3">
      <c r="A61">
        <v>388</v>
      </c>
      <c r="B61" t="s">
        <v>778</v>
      </c>
      <c r="C61" t="s">
        <v>779</v>
      </c>
      <c r="D61" t="s">
        <v>49</v>
      </c>
      <c r="E61" t="s">
        <v>60</v>
      </c>
      <c r="F61" t="s">
        <v>51</v>
      </c>
      <c r="G61">
        <v>25000</v>
      </c>
      <c r="H61" t="s">
        <v>19</v>
      </c>
      <c r="I61" t="s">
        <v>739</v>
      </c>
      <c r="J61">
        <v>7</v>
      </c>
      <c r="K61" t="s">
        <v>27</v>
      </c>
      <c r="L61" t="s">
        <v>46</v>
      </c>
      <c r="M61">
        <v>3</v>
      </c>
    </row>
    <row r="62" spans="1:13" x14ac:dyDescent="0.3">
      <c r="A62">
        <v>385</v>
      </c>
      <c r="B62" t="s">
        <v>773</v>
      </c>
      <c r="C62" t="s">
        <v>774</v>
      </c>
      <c r="D62" t="s">
        <v>90</v>
      </c>
      <c r="E62" t="s">
        <v>55</v>
      </c>
      <c r="F62" t="s">
        <v>105</v>
      </c>
      <c r="G62">
        <v>47000</v>
      </c>
      <c r="H62" t="s">
        <v>19</v>
      </c>
      <c r="I62" t="s">
        <v>739</v>
      </c>
      <c r="J62">
        <v>12</v>
      </c>
      <c r="K62" t="s">
        <v>21</v>
      </c>
      <c r="L62" t="s">
        <v>46</v>
      </c>
      <c r="M62">
        <v>1</v>
      </c>
    </row>
    <row r="63" spans="1:13" x14ac:dyDescent="0.3">
      <c r="A63">
        <v>60</v>
      </c>
      <c r="B63" t="s">
        <v>183</v>
      </c>
      <c r="C63" t="s">
        <v>184</v>
      </c>
      <c r="D63" t="s">
        <v>90</v>
      </c>
      <c r="E63" t="s">
        <v>17</v>
      </c>
      <c r="F63" t="s">
        <v>113</v>
      </c>
      <c r="G63">
        <v>24000</v>
      </c>
      <c r="H63" t="s">
        <v>19</v>
      </c>
      <c r="I63" t="s">
        <v>148</v>
      </c>
      <c r="J63">
        <v>6</v>
      </c>
      <c r="K63" t="s">
        <v>27</v>
      </c>
      <c r="L63" t="s">
        <v>46</v>
      </c>
      <c r="M63">
        <v>3</v>
      </c>
    </row>
    <row r="64" spans="1:13" x14ac:dyDescent="0.3">
      <c r="A64">
        <v>384</v>
      </c>
      <c r="B64" t="s">
        <v>772</v>
      </c>
      <c r="C64" t="s">
        <v>576</v>
      </c>
      <c r="D64" t="s">
        <v>54</v>
      </c>
      <c r="E64" t="s">
        <v>45</v>
      </c>
      <c r="F64" t="s">
        <v>247</v>
      </c>
      <c r="G64">
        <v>18000</v>
      </c>
      <c r="H64" t="s">
        <v>19</v>
      </c>
      <c r="I64" t="s">
        <v>739</v>
      </c>
      <c r="J64">
        <v>12</v>
      </c>
      <c r="K64" t="s">
        <v>27</v>
      </c>
      <c r="L64" t="s">
        <v>22</v>
      </c>
      <c r="M64">
        <v>9</v>
      </c>
    </row>
    <row r="65" spans="1:13" x14ac:dyDescent="0.3">
      <c r="A65">
        <v>62</v>
      </c>
      <c r="B65" t="s">
        <v>187</v>
      </c>
      <c r="C65" t="s">
        <v>188</v>
      </c>
      <c r="D65" t="s">
        <v>49</v>
      </c>
      <c r="E65" t="s">
        <v>45</v>
      </c>
      <c r="F65" t="s">
        <v>189</v>
      </c>
      <c r="G65">
        <v>46000</v>
      </c>
      <c r="H65" t="s">
        <v>19</v>
      </c>
      <c r="I65" t="s">
        <v>148</v>
      </c>
      <c r="J65">
        <v>17</v>
      </c>
      <c r="K65" t="s">
        <v>21</v>
      </c>
      <c r="L65" t="s">
        <v>22</v>
      </c>
      <c r="M65">
        <v>9</v>
      </c>
    </row>
    <row r="66" spans="1:13" x14ac:dyDescent="0.3">
      <c r="A66">
        <v>383</v>
      </c>
      <c r="B66" t="s">
        <v>770</v>
      </c>
      <c r="C66" t="s">
        <v>771</v>
      </c>
      <c r="D66" t="s">
        <v>30</v>
      </c>
      <c r="E66" t="s">
        <v>17</v>
      </c>
      <c r="F66" t="s">
        <v>31</v>
      </c>
      <c r="G66">
        <v>29000</v>
      </c>
      <c r="H66" t="s">
        <v>19</v>
      </c>
      <c r="I66" t="s">
        <v>739</v>
      </c>
      <c r="J66">
        <v>9</v>
      </c>
      <c r="K66" t="s">
        <v>27</v>
      </c>
      <c r="L66" t="s">
        <v>57</v>
      </c>
      <c r="M66">
        <v>0</v>
      </c>
    </row>
    <row r="67" spans="1:13" x14ac:dyDescent="0.3">
      <c r="A67">
        <v>382</v>
      </c>
      <c r="B67" t="s">
        <v>769</v>
      </c>
      <c r="C67" t="s">
        <v>378</v>
      </c>
      <c r="D67" t="s">
        <v>49</v>
      </c>
      <c r="E67" t="s">
        <v>39</v>
      </c>
      <c r="F67" t="s">
        <v>108</v>
      </c>
      <c r="G67">
        <v>45000</v>
      </c>
      <c r="H67" t="s">
        <v>19</v>
      </c>
      <c r="I67" t="s">
        <v>739</v>
      </c>
      <c r="J67">
        <v>14</v>
      </c>
      <c r="K67" t="s">
        <v>21</v>
      </c>
      <c r="L67" t="s">
        <v>22</v>
      </c>
      <c r="M67">
        <v>0</v>
      </c>
    </row>
    <row r="68" spans="1:13" x14ac:dyDescent="0.3">
      <c r="A68">
        <v>379</v>
      </c>
      <c r="B68" t="s">
        <v>766</v>
      </c>
      <c r="C68" t="s">
        <v>197</v>
      </c>
      <c r="D68" t="s">
        <v>66</v>
      </c>
      <c r="E68" t="s">
        <v>25</v>
      </c>
      <c r="F68" t="s">
        <v>67</v>
      </c>
      <c r="G68">
        <v>35000</v>
      </c>
      <c r="H68" t="s">
        <v>19</v>
      </c>
      <c r="I68" t="s">
        <v>739</v>
      </c>
      <c r="J68">
        <v>1</v>
      </c>
      <c r="K68" t="s">
        <v>21</v>
      </c>
      <c r="L68" t="s">
        <v>22</v>
      </c>
      <c r="M68">
        <v>11</v>
      </c>
    </row>
    <row r="69" spans="1:13" x14ac:dyDescent="0.3">
      <c r="A69">
        <v>66</v>
      </c>
      <c r="B69" t="s">
        <v>196</v>
      </c>
      <c r="C69" t="s">
        <v>197</v>
      </c>
      <c r="D69" t="s">
        <v>101</v>
      </c>
      <c r="E69" t="s">
        <v>39</v>
      </c>
      <c r="F69" t="s">
        <v>102</v>
      </c>
      <c r="G69">
        <v>120000</v>
      </c>
      <c r="H69" t="s">
        <v>19</v>
      </c>
      <c r="I69" t="s">
        <v>148</v>
      </c>
      <c r="J69">
        <v>14</v>
      </c>
      <c r="K69" t="s">
        <v>21</v>
      </c>
      <c r="L69" t="s">
        <v>22</v>
      </c>
      <c r="M69">
        <v>10</v>
      </c>
    </row>
    <row r="70" spans="1:13" x14ac:dyDescent="0.3">
      <c r="A70">
        <v>378</v>
      </c>
      <c r="B70" t="s">
        <v>764</v>
      </c>
      <c r="C70" t="s">
        <v>765</v>
      </c>
      <c r="D70" t="s">
        <v>59</v>
      </c>
      <c r="E70" t="s">
        <v>55</v>
      </c>
      <c r="F70" t="s">
        <v>85</v>
      </c>
      <c r="G70">
        <v>36000</v>
      </c>
      <c r="H70" t="s">
        <v>19</v>
      </c>
      <c r="I70" t="s">
        <v>739</v>
      </c>
      <c r="J70">
        <v>13</v>
      </c>
      <c r="K70" t="s">
        <v>27</v>
      </c>
      <c r="L70" t="s">
        <v>22</v>
      </c>
      <c r="M70">
        <v>9</v>
      </c>
    </row>
    <row r="71" spans="1:13" x14ac:dyDescent="0.3">
      <c r="A71">
        <v>374</v>
      </c>
      <c r="B71" t="s">
        <v>759</v>
      </c>
      <c r="C71" t="s">
        <v>15</v>
      </c>
      <c r="D71" t="s">
        <v>59</v>
      </c>
      <c r="E71" t="s">
        <v>25</v>
      </c>
      <c r="F71" t="s">
        <v>61</v>
      </c>
      <c r="G71">
        <v>44000</v>
      </c>
      <c r="H71" t="s">
        <v>19</v>
      </c>
      <c r="I71" t="s">
        <v>739</v>
      </c>
      <c r="J71">
        <v>11</v>
      </c>
      <c r="K71" t="s">
        <v>27</v>
      </c>
      <c r="L71" t="s">
        <v>22</v>
      </c>
      <c r="M71">
        <v>4</v>
      </c>
    </row>
    <row r="72" spans="1:13" x14ac:dyDescent="0.3">
      <c r="A72">
        <v>372</v>
      </c>
      <c r="B72" t="s">
        <v>757</v>
      </c>
      <c r="C72" t="s">
        <v>331</v>
      </c>
      <c r="D72" t="s">
        <v>16</v>
      </c>
      <c r="E72" t="s">
        <v>55</v>
      </c>
      <c r="F72" t="s">
        <v>18</v>
      </c>
      <c r="G72">
        <v>72000</v>
      </c>
      <c r="H72" t="s">
        <v>19</v>
      </c>
      <c r="I72" t="s">
        <v>739</v>
      </c>
      <c r="J72">
        <v>15</v>
      </c>
      <c r="K72" t="s">
        <v>21</v>
      </c>
      <c r="L72" t="s">
        <v>22</v>
      </c>
      <c r="M72">
        <v>3</v>
      </c>
    </row>
    <row r="73" spans="1:13" x14ac:dyDescent="0.3">
      <c r="A73">
        <v>70</v>
      </c>
      <c r="B73" t="s">
        <v>205</v>
      </c>
      <c r="C73" t="s">
        <v>206</v>
      </c>
      <c r="D73" t="s">
        <v>30</v>
      </c>
      <c r="E73" t="s">
        <v>45</v>
      </c>
      <c r="F73" t="s">
        <v>31</v>
      </c>
      <c r="G73">
        <v>54000</v>
      </c>
      <c r="H73" t="s">
        <v>19</v>
      </c>
      <c r="I73" t="s">
        <v>148</v>
      </c>
      <c r="J73">
        <v>9</v>
      </c>
      <c r="K73" t="s">
        <v>21</v>
      </c>
      <c r="L73" t="s">
        <v>22</v>
      </c>
      <c r="M73">
        <v>12</v>
      </c>
    </row>
    <row r="74" spans="1:13" x14ac:dyDescent="0.3">
      <c r="A74">
        <v>366</v>
      </c>
      <c r="B74" t="s">
        <v>748</v>
      </c>
      <c r="C74" t="s">
        <v>288</v>
      </c>
      <c r="D74" t="s">
        <v>54</v>
      </c>
      <c r="E74" t="s">
        <v>25</v>
      </c>
      <c r="F74" t="s">
        <v>56</v>
      </c>
      <c r="G74">
        <v>43000</v>
      </c>
      <c r="H74" t="s">
        <v>19</v>
      </c>
      <c r="I74" t="s">
        <v>739</v>
      </c>
      <c r="J74">
        <v>15</v>
      </c>
      <c r="K74" t="s">
        <v>27</v>
      </c>
      <c r="L74" t="s">
        <v>22</v>
      </c>
      <c r="M74">
        <v>1</v>
      </c>
    </row>
    <row r="75" spans="1:13" x14ac:dyDescent="0.3">
      <c r="A75">
        <v>365</v>
      </c>
      <c r="B75" t="s">
        <v>746</v>
      </c>
      <c r="C75" t="s">
        <v>747</v>
      </c>
      <c r="D75" t="s">
        <v>101</v>
      </c>
      <c r="E75" t="s">
        <v>60</v>
      </c>
      <c r="F75" t="s">
        <v>349</v>
      </c>
      <c r="G75">
        <v>45000</v>
      </c>
      <c r="H75" t="s">
        <v>19</v>
      </c>
      <c r="I75" t="s">
        <v>739</v>
      </c>
      <c r="J75">
        <v>11</v>
      </c>
      <c r="K75" t="s">
        <v>27</v>
      </c>
      <c r="L75" t="s">
        <v>22</v>
      </c>
      <c r="M75">
        <v>0</v>
      </c>
    </row>
    <row r="76" spans="1:13" x14ac:dyDescent="0.3">
      <c r="A76">
        <v>364</v>
      </c>
      <c r="B76" t="s">
        <v>744</v>
      </c>
      <c r="C76" t="s">
        <v>745</v>
      </c>
      <c r="D76" t="s">
        <v>49</v>
      </c>
      <c r="E76" t="s">
        <v>50</v>
      </c>
      <c r="F76" t="s">
        <v>108</v>
      </c>
      <c r="G76">
        <v>65000</v>
      </c>
      <c r="H76" t="s">
        <v>19</v>
      </c>
      <c r="I76" t="s">
        <v>739</v>
      </c>
      <c r="J76">
        <v>9</v>
      </c>
      <c r="K76" t="s">
        <v>21</v>
      </c>
      <c r="L76" t="s">
        <v>46</v>
      </c>
      <c r="M76">
        <v>0</v>
      </c>
    </row>
    <row r="77" spans="1:13" x14ac:dyDescent="0.3">
      <c r="A77">
        <v>363</v>
      </c>
      <c r="B77" t="s">
        <v>742</v>
      </c>
      <c r="C77" t="s">
        <v>743</v>
      </c>
      <c r="D77" t="s">
        <v>54</v>
      </c>
      <c r="E77" t="s">
        <v>55</v>
      </c>
      <c r="F77" t="s">
        <v>247</v>
      </c>
      <c r="G77">
        <v>68000</v>
      </c>
      <c r="H77" t="s">
        <v>19</v>
      </c>
      <c r="I77" t="s">
        <v>739</v>
      </c>
      <c r="J77">
        <v>10</v>
      </c>
      <c r="K77" t="s">
        <v>27</v>
      </c>
      <c r="L77" t="s">
        <v>22</v>
      </c>
      <c r="M77">
        <v>7</v>
      </c>
    </row>
    <row r="78" spans="1:13" x14ac:dyDescent="0.3">
      <c r="A78">
        <v>358</v>
      </c>
      <c r="B78" t="s">
        <v>733</v>
      </c>
      <c r="C78" t="s">
        <v>230</v>
      </c>
      <c r="D78" t="s">
        <v>49</v>
      </c>
      <c r="E78" t="s">
        <v>25</v>
      </c>
      <c r="F78" t="s">
        <v>108</v>
      </c>
      <c r="G78">
        <v>29000</v>
      </c>
      <c r="H78" t="s">
        <v>19</v>
      </c>
      <c r="I78" t="s">
        <v>668</v>
      </c>
      <c r="J78">
        <v>1</v>
      </c>
      <c r="K78" t="s">
        <v>27</v>
      </c>
      <c r="L78" t="s">
        <v>22</v>
      </c>
      <c r="M78">
        <v>8</v>
      </c>
    </row>
    <row r="79" spans="1:13" x14ac:dyDescent="0.3">
      <c r="A79">
        <v>354</v>
      </c>
      <c r="B79" t="s">
        <v>727</v>
      </c>
      <c r="C79" t="s">
        <v>193</v>
      </c>
      <c r="D79" t="s">
        <v>54</v>
      </c>
      <c r="E79" t="s">
        <v>60</v>
      </c>
      <c r="F79" t="s">
        <v>158</v>
      </c>
      <c r="G79">
        <v>39000</v>
      </c>
      <c r="H79" t="s">
        <v>19</v>
      </c>
      <c r="I79" t="s">
        <v>668</v>
      </c>
      <c r="J79">
        <v>1</v>
      </c>
      <c r="K79" t="s">
        <v>27</v>
      </c>
      <c r="L79" t="s">
        <v>22</v>
      </c>
      <c r="M79">
        <v>2</v>
      </c>
    </row>
    <row r="80" spans="1:13" x14ac:dyDescent="0.3">
      <c r="A80">
        <v>77</v>
      </c>
      <c r="B80" t="s">
        <v>219</v>
      </c>
      <c r="C80" t="s">
        <v>220</v>
      </c>
      <c r="D80" t="s">
        <v>16</v>
      </c>
      <c r="E80" t="s">
        <v>50</v>
      </c>
      <c r="F80" t="s">
        <v>42</v>
      </c>
      <c r="G80">
        <v>36000</v>
      </c>
      <c r="H80" t="s">
        <v>19</v>
      </c>
      <c r="I80" t="s">
        <v>148</v>
      </c>
      <c r="J80">
        <v>7</v>
      </c>
      <c r="K80" t="s">
        <v>21</v>
      </c>
      <c r="L80" t="s">
        <v>22</v>
      </c>
      <c r="M80">
        <v>0</v>
      </c>
    </row>
    <row r="81" spans="1:13" x14ac:dyDescent="0.3">
      <c r="A81">
        <v>344</v>
      </c>
      <c r="B81" t="s">
        <v>711</v>
      </c>
      <c r="C81" t="s">
        <v>712</v>
      </c>
      <c r="D81" t="s">
        <v>101</v>
      </c>
      <c r="E81" t="s">
        <v>25</v>
      </c>
      <c r="F81" t="s">
        <v>102</v>
      </c>
      <c r="G81">
        <v>59000</v>
      </c>
      <c r="H81" t="s">
        <v>19</v>
      </c>
      <c r="I81" t="s">
        <v>668</v>
      </c>
      <c r="J81">
        <v>17</v>
      </c>
      <c r="K81" t="s">
        <v>27</v>
      </c>
      <c r="L81" t="s">
        <v>22</v>
      </c>
      <c r="M81">
        <v>6</v>
      </c>
    </row>
    <row r="82" spans="1:13" x14ac:dyDescent="0.3">
      <c r="A82">
        <v>79</v>
      </c>
      <c r="B82" t="s">
        <v>223</v>
      </c>
      <c r="C82" t="s">
        <v>224</v>
      </c>
      <c r="D82" t="s">
        <v>101</v>
      </c>
      <c r="E82" t="s">
        <v>73</v>
      </c>
      <c r="F82" t="s">
        <v>126</v>
      </c>
      <c r="G82">
        <v>90000</v>
      </c>
      <c r="H82" t="s">
        <v>19</v>
      </c>
      <c r="I82" t="s">
        <v>148</v>
      </c>
      <c r="J82">
        <v>1</v>
      </c>
      <c r="K82" t="s">
        <v>21</v>
      </c>
      <c r="L82" t="s">
        <v>22</v>
      </c>
      <c r="M82">
        <v>7</v>
      </c>
    </row>
    <row r="83" spans="1:13" x14ac:dyDescent="0.3">
      <c r="A83">
        <v>342</v>
      </c>
      <c r="B83" t="s">
        <v>707</v>
      </c>
      <c r="C83" t="s">
        <v>708</v>
      </c>
      <c r="D83" t="s">
        <v>90</v>
      </c>
      <c r="E83" t="s">
        <v>50</v>
      </c>
      <c r="F83" t="s">
        <v>113</v>
      </c>
      <c r="G83">
        <v>39000</v>
      </c>
      <c r="H83" t="s">
        <v>19</v>
      </c>
      <c r="I83" t="s">
        <v>668</v>
      </c>
      <c r="J83">
        <v>14</v>
      </c>
      <c r="K83" t="s">
        <v>21</v>
      </c>
      <c r="L83" t="s">
        <v>57</v>
      </c>
      <c r="M83">
        <v>1</v>
      </c>
    </row>
    <row r="84" spans="1:13" x14ac:dyDescent="0.3">
      <c r="A84">
        <v>341</v>
      </c>
      <c r="B84" t="s">
        <v>705</v>
      </c>
      <c r="C84" t="s">
        <v>706</v>
      </c>
      <c r="D84" t="s">
        <v>66</v>
      </c>
      <c r="E84" t="s">
        <v>73</v>
      </c>
      <c r="F84" t="s">
        <v>67</v>
      </c>
      <c r="G84">
        <v>28000</v>
      </c>
      <c r="H84" t="s">
        <v>19</v>
      </c>
      <c r="I84" t="s">
        <v>668</v>
      </c>
      <c r="J84">
        <v>15</v>
      </c>
      <c r="K84" t="s">
        <v>21</v>
      </c>
      <c r="L84" t="s">
        <v>22</v>
      </c>
      <c r="M84">
        <v>9</v>
      </c>
    </row>
    <row r="85" spans="1:13" x14ac:dyDescent="0.3">
      <c r="A85">
        <v>82</v>
      </c>
      <c r="B85" t="s">
        <v>229</v>
      </c>
      <c r="C85" t="s">
        <v>230</v>
      </c>
      <c r="D85" t="s">
        <v>90</v>
      </c>
      <c r="E85" t="s">
        <v>39</v>
      </c>
      <c r="F85" t="s">
        <v>98</v>
      </c>
      <c r="G85">
        <v>30000</v>
      </c>
      <c r="H85" t="s">
        <v>19</v>
      </c>
      <c r="I85" t="s">
        <v>148</v>
      </c>
      <c r="J85">
        <v>5</v>
      </c>
      <c r="K85" t="s">
        <v>21</v>
      </c>
      <c r="L85" t="s">
        <v>22</v>
      </c>
      <c r="M85">
        <v>0</v>
      </c>
    </row>
    <row r="86" spans="1:13" x14ac:dyDescent="0.3">
      <c r="A86">
        <v>337</v>
      </c>
      <c r="B86" t="s">
        <v>697</v>
      </c>
      <c r="C86" t="s">
        <v>698</v>
      </c>
      <c r="D86" t="s">
        <v>49</v>
      </c>
      <c r="E86" t="s">
        <v>45</v>
      </c>
      <c r="F86" t="s">
        <v>108</v>
      </c>
      <c r="G86">
        <v>55000</v>
      </c>
      <c r="H86" t="s">
        <v>19</v>
      </c>
      <c r="I86" t="s">
        <v>668</v>
      </c>
      <c r="J86">
        <v>5</v>
      </c>
      <c r="K86" t="s">
        <v>27</v>
      </c>
      <c r="L86" t="s">
        <v>22</v>
      </c>
      <c r="M86">
        <v>10</v>
      </c>
    </row>
    <row r="87" spans="1:13" x14ac:dyDescent="0.3">
      <c r="A87">
        <v>335</v>
      </c>
      <c r="B87" t="s">
        <v>694</v>
      </c>
      <c r="C87" t="s">
        <v>191</v>
      </c>
      <c r="D87" t="s">
        <v>16</v>
      </c>
      <c r="E87" t="s">
        <v>45</v>
      </c>
      <c r="F87" t="s">
        <v>266</v>
      </c>
      <c r="G87">
        <v>74000</v>
      </c>
      <c r="H87" t="s">
        <v>19</v>
      </c>
      <c r="I87" t="s">
        <v>668</v>
      </c>
      <c r="J87">
        <v>18</v>
      </c>
      <c r="K87" t="s">
        <v>21</v>
      </c>
      <c r="L87" t="s">
        <v>22</v>
      </c>
      <c r="M87">
        <v>1</v>
      </c>
    </row>
    <row r="88" spans="1:13" x14ac:dyDescent="0.3">
      <c r="A88">
        <v>328</v>
      </c>
      <c r="B88" t="s">
        <v>682</v>
      </c>
      <c r="C88" t="s">
        <v>180</v>
      </c>
      <c r="D88" t="s">
        <v>49</v>
      </c>
      <c r="E88" t="s">
        <v>55</v>
      </c>
      <c r="F88" t="s">
        <v>189</v>
      </c>
      <c r="G88">
        <v>28000</v>
      </c>
      <c r="H88" t="s">
        <v>19</v>
      </c>
      <c r="I88" t="s">
        <v>668</v>
      </c>
      <c r="J88">
        <v>6</v>
      </c>
      <c r="K88" t="s">
        <v>21</v>
      </c>
      <c r="L88" t="s">
        <v>22</v>
      </c>
      <c r="M88">
        <v>11</v>
      </c>
    </row>
    <row r="89" spans="1:13" x14ac:dyDescent="0.3">
      <c r="A89">
        <v>325</v>
      </c>
      <c r="B89" t="s">
        <v>677</v>
      </c>
      <c r="C89" t="s">
        <v>678</v>
      </c>
      <c r="D89" t="s">
        <v>54</v>
      </c>
      <c r="E89" t="s">
        <v>60</v>
      </c>
      <c r="F89" t="s">
        <v>200</v>
      </c>
      <c r="G89">
        <v>51000</v>
      </c>
      <c r="H89" t="s">
        <v>19</v>
      </c>
      <c r="I89" t="s">
        <v>668</v>
      </c>
      <c r="J89">
        <v>1</v>
      </c>
      <c r="K89" t="s">
        <v>21</v>
      </c>
      <c r="L89" t="s">
        <v>22</v>
      </c>
      <c r="M89">
        <v>4</v>
      </c>
    </row>
    <row r="90" spans="1:13" x14ac:dyDescent="0.3">
      <c r="A90">
        <v>322</v>
      </c>
      <c r="B90" t="s">
        <v>672</v>
      </c>
      <c r="C90" t="s">
        <v>344</v>
      </c>
      <c r="D90" t="s">
        <v>54</v>
      </c>
      <c r="E90" t="s">
        <v>39</v>
      </c>
      <c r="F90" t="s">
        <v>158</v>
      </c>
      <c r="G90">
        <v>23000</v>
      </c>
      <c r="H90" t="s">
        <v>19</v>
      </c>
      <c r="I90" t="s">
        <v>668</v>
      </c>
      <c r="J90">
        <v>3</v>
      </c>
      <c r="K90" t="s">
        <v>27</v>
      </c>
      <c r="L90" t="s">
        <v>22</v>
      </c>
      <c r="M90">
        <v>3</v>
      </c>
    </row>
    <row r="91" spans="1:13" x14ac:dyDescent="0.3">
      <c r="A91">
        <v>318</v>
      </c>
      <c r="B91" t="s">
        <v>665</v>
      </c>
      <c r="C91" t="s">
        <v>666</v>
      </c>
      <c r="D91" t="s">
        <v>101</v>
      </c>
      <c r="E91" t="s">
        <v>45</v>
      </c>
      <c r="F91" t="s">
        <v>147</v>
      </c>
      <c r="G91">
        <v>122000</v>
      </c>
      <c r="H91" t="s">
        <v>19</v>
      </c>
      <c r="I91" t="s">
        <v>585</v>
      </c>
      <c r="J91">
        <v>1</v>
      </c>
      <c r="K91" t="s">
        <v>21</v>
      </c>
      <c r="L91" t="s">
        <v>57</v>
      </c>
      <c r="M91">
        <v>7</v>
      </c>
    </row>
    <row r="92" spans="1:13" x14ac:dyDescent="0.3">
      <c r="A92">
        <v>316</v>
      </c>
      <c r="B92" t="s">
        <v>662</v>
      </c>
      <c r="C92" t="s">
        <v>477</v>
      </c>
      <c r="D92" t="s">
        <v>59</v>
      </c>
      <c r="E92" t="s">
        <v>45</v>
      </c>
      <c r="F92" t="s">
        <v>80</v>
      </c>
      <c r="G92">
        <v>28000</v>
      </c>
      <c r="H92" t="s">
        <v>19</v>
      </c>
      <c r="I92" t="s">
        <v>585</v>
      </c>
      <c r="J92">
        <v>0</v>
      </c>
      <c r="K92" t="s">
        <v>21</v>
      </c>
      <c r="L92" t="s">
        <v>46</v>
      </c>
      <c r="M92">
        <v>11</v>
      </c>
    </row>
    <row r="93" spans="1:13" x14ac:dyDescent="0.3">
      <c r="A93">
        <v>312</v>
      </c>
      <c r="B93" t="s">
        <v>654</v>
      </c>
      <c r="C93" t="s">
        <v>655</v>
      </c>
      <c r="D93" t="s">
        <v>66</v>
      </c>
      <c r="E93" t="s">
        <v>73</v>
      </c>
      <c r="F93" t="s">
        <v>67</v>
      </c>
      <c r="G93">
        <v>61000</v>
      </c>
      <c r="H93" t="s">
        <v>19</v>
      </c>
      <c r="I93" t="s">
        <v>585</v>
      </c>
      <c r="J93">
        <v>15</v>
      </c>
      <c r="K93" t="s">
        <v>21</v>
      </c>
      <c r="L93" t="s">
        <v>46</v>
      </c>
      <c r="M93">
        <v>11</v>
      </c>
    </row>
    <row r="94" spans="1:13" x14ac:dyDescent="0.3">
      <c r="A94">
        <v>302</v>
      </c>
      <c r="B94" t="s">
        <v>638</v>
      </c>
      <c r="C94" t="s">
        <v>639</v>
      </c>
      <c r="D94" t="s">
        <v>90</v>
      </c>
      <c r="E94" t="s">
        <v>39</v>
      </c>
      <c r="F94" t="s">
        <v>105</v>
      </c>
      <c r="G94">
        <v>60000</v>
      </c>
      <c r="H94" t="s">
        <v>19</v>
      </c>
      <c r="I94" t="s">
        <v>585</v>
      </c>
      <c r="J94">
        <v>17</v>
      </c>
      <c r="K94" t="s">
        <v>27</v>
      </c>
      <c r="L94" t="s">
        <v>22</v>
      </c>
      <c r="M94">
        <v>7</v>
      </c>
    </row>
    <row r="95" spans="1:13" x14ac:dyDescent="0.3">
      <c r="A95">
        <v>299</v>
      </c>
      <c r="B95" t="s">
        <v>634</v>
      </c>
      <c r="C95" t="s">
        <v>253</v>
      </c>
      <c r="D95" t="s">
        <v>90</v>
      </c>
      <c r="E95" t="s">
        <v>73</v>
      </c>
      <c r="F95" t="s">
        <v>98</v>
      </c>
      <c r="G95">
        <v>28000</v>
      </c>
      <c r="H95" t="s">
        <v>19</v>
      </c>
      <c r="I95" t="s">
        <v>585</v>
      </c>
      <c r="J95">
        <v>8</v>
      </c>
      <c r="K95" t="s">
        <v>27</v>
      </c>
      <c r="L95" t="s">
        <v>57</v>
      </c>
      <c r="M95">
        <v>11</v>
      </c>
    </row>
    <row r="96" spans="1:13" x14ac:dyDescent="0.3">
      <c r="A96">
        <v>298</v>
      </c>
      <c r="B96" t="s">
        <v>633</v>
      </c>
      <c r="C96" t="s">
        <v>325</v>
      </c>
      <c r="D96" t="s">
        <v>16</v>
      </c>
      <c r="E96" t="s">
        <v>50</v>
      </c>
      <c r="F96" t="s">
        <v>74</v>
      </c>
      <c r="G96">
        <v>90000</v>
      </c>
      <c r="H96" t="s">
        <v>19</v>
      </c>
      <c r="I96" t="s">
        <v>585</v>
      </c>
      <c r="J96">
        <v>11</v>
      </c>
      <c r="K96" t="s">
        <v>21</v>
      </c>
      <c r="L96" t="s">
        <v>22</v>
      </c>
      <c r="M96">
        <v>10</v>
      </c>
    </row>
    <row r="97" spans="1:13" x14ac:dyDescent="0.3">
      <c r="A97">
        <v>295</v>
      </c>
      <c r="B97" t="s">
        <v>627</v>
      </c>
      <c r="C97" t="s">
        <v>628</v>
      </c>
      <c r="D97" t="s">
        <v>101</v>
      </c>
      <c r="E97" t="s">
        <v>17</v>
      </c>
      <c r="F97" t="s">
        <v>102</v>
      </c>
      <c r="G97">
        <v>111000</v>
      </c>
      <c r="H97" t="s">
        <v>19</v>
      </c>
      <c r="I97" t="s">
        <v>585</v>
      </c>
      <c r="J97">
        <v>4</v>
      </c>
      <c r="K97" t="s">
        <v>21</v>
      </c>
      <c r="L97" t="s">
        <v>22</v>
      </c>
      <c r="M97">
        <v>3</v>
      </c>
    </row>
    <row r="98" spans="1:13" x14ac:dyDescent="0.3">
      <c r="A98">
        <v>291</v>
      </c>
      <c r="B98" t="s">
        <v>620</v>
      </c>
      <c r="C98" t="s">
        <v>580</v>
      </c>
      <c r="D98" t="s">
        <v>66</v>
      </c>
      <c r="E98" t="s">
        <v>39</v>
      </c>
      <c r="F98" t="s">
        <v>67</v>
      </c>
      <c r="G98">
        <v>56000</v>
      </c>
      <c r="H98" t="s">
        <v>19</v>
      </c>
      <c r="I98" t="s">
        <v>585</v>
      </c>
      <c r="J98">
        <v>7</v>
      </c>
      <c r="K98" t="s">
        <v>21</v>
      </c>
      <c r="L98" t="s">
        <v>22</v>
      </c>
      <c r="M98">
        <v>3</v>
      </c>
    </row>
    <row r="99" spans="1:13" x14ac:dyDescent="0.3">
      <c r="A99">
        <v>288</v>
      </c>
      <c r="B99" t="s">
        <v>615</v>
      </c>
      <c r="C99" t="s">
        <v>616</v>
      </c>
      <c r="D99" t="s">
        <v>49</v>
      </c>
      <c r="E99" t="s">
        <v>45</v>
      </c>
      <c r="F99" t="s">
        <v>108</v>
      </c>
      <c r="G99">
        <v>51000</v>
      </c>
      <c r="H99" t="s">
        <v>19</v>
      </c>
      <c r="I99" t="s">
        <v>585</v>
      </c>
      <c r="J99">
        <v>7</v>
      </c>
      <c r="K99" t="s">
        <v>21</v>
      </c>
      <c r="L99" t="s">
        <v>22</v>
      </c>
      <c r="M99">
        <v>0</v>
      </c>
    </row>
    <row r="100" spans="1:13" x14ac:dyDescent="0.3">
      <c r="A100">
        <v>284</v>
      </c>
      <c r="B100" t="s">
        <v>608</v>
      </c>
      <c r="C100" t="s">
        <v>609</v>
      </c>
      <c r="D100" t="s">
        <v>101</v>
      </c>
      <c r="E100" t="s">
        <v>50</v>
      </c>
      <c r="F100" t="s">
        <v>147</v>
      </c>
      <c r="G100">
        <v>108000</v>
      </c>
      <c r="H100" t="s">
        <v>19</v>
      </c>
      <c r="I100" t="s">
        <v>585</v>
      </c>
      <c r="J100">
        <v>7</v>
      </c>
      <c r="K100" t="s">
        <v>27</v>
      </c>
      <c r="L100" t="s">
        <v>22</v>
      </c>
      <c r="M100">
        <v>2</v>
      </c>
    </row>
    <row r="101" spans="1:13" x14ac:dyDescent="0.3">
      <c r="A101">
        <v>98</v>
      </c>
      <c r="B101" t="s">
        <v>260</v>
      </c>
      <c r="C101" t="s">
        <v>261</v>
      </c>
      <c r="D101" t="s">
        <v>59</v>
      </c>
      <c r="E101" t="s">
        <v>25</v>
      </c>
      <c r="F101" t="s">
        <v>80</v>
      </c>
      <c r="G101">
        <v>50000</v>
      </c>
      <c r="H101" t="s">
        <v>19</v>
      </c>
      <c r="I101" t="s">
        <v>244</v>
      </c>
      <c r="J101">
        <v>10</v>
      </c>
      <c r="K101" t="s">
        <v>27</v>
      </c>
      <c r="L101" t="s">
        <v>22</v>
      </c>
      <c r="M101">
        <v>4</v>
      </c>
    </row>
    <row r="102" spans="1:13" x14ac:dyDescent="0.3">
      <c r="A102">
        <v>283</v>
      </c>
      <c r="B102" t="s">
        <v>607</v>
      </c>
      <c r="C102" t="s">
        <v>529</v>
      </c>
      <c r="D102" t="s">
        <v>66</v>
      </c>
      <c r="E102" t="s">
        <v>73</v>
      </c>
      <c r="F102" t="s">
        <v>121</v>
      </c>
      <c r="G102">
        <v>110000</v>
      </c>
      <c r="H102" t="s">
        <v>19</v>
      </c>
      <c r="I102" t="s">
        <v>585</v>
      </c>
      <c r="J102">
        <v>9</v>
      </c>
      <c r="K102" t="s">
        <v>27</v>
      </c>
      <c r="L102" t="s">
        <v>46</v>
      </c>
      <c r="M102">
        <v>7</v>
      </c>
    </row>
    <row r="103" spans="1:13" x14ac:dyDescent="0.3">
      <c r="A103">
        <v>100</v>
      </c>
      <c r="B103" t="s">
        <v>264</v>
      </c>
      <c r="C103" t="s">
        <v>265</v>
      </c>
      <c r="D103" t="s">
        <v>16</v>
      </c>
      <c r="E103" t="s">
        <v>17</v>
      </c>
      <c r="F103" t="s">
        <v>266</v>
      </c>
      <c r="G103">
        <v>97000</v>
      </c>
      <c r="H103" t="s">
        <v>19</v>
      </c>
      <c r="I103" t="s">
        <v>244</v>
      </c>
      <c r="J103">
        <v>7</v>
      </c>
      <c r="K103" t="s">
        <v>27</v>
      </c>
      <c r="L103" t="s">
        <v>22</v>
      </c>
      <c r="M103">
        <v>3</v>
      </c>
    </row>
    <row r="104" spans="1:13" x14ac:dyDescent="0.3">
      <c r="A104">
        <v>280</v>
      </c>
      <c r="B104" t="s">
        <v>601</v>
      </c>
      <c r="C104" t="s">
        <v>602</v>
      </c>
      <c r="D104" t="s">
        <v>90</v>
      </c>
      <c r="E104" t="s">
        <v>39</v>
      </c>
      <c r="F104" t="s">
        <v>113</v>
      </c>
      <c r="G104">
        <v>16000</v>
      </c>
      <c r="H104" t="s">
        <v>19</v>
      </c>
      <c r="I104" t="s">
        <v>585</v>
      </c>
      <c r="J104">
        <v>15</v>
      </c>
      <c r="K104" t="s">
        <v>21</v>
      </c>
      <c r="L104" t="s">
        <v>57</v>
      </c>
      <c r="M104">
        <v>0</v>
      </c>
    </row>
    <row r="105" spans="1:13" x14ac:dyDescent="0.3">
      <c r="A105">
        <v>102</v>
      </c>
      <c r="B105" t="s">
        <v>269</v>
      </c>
      <c r="C105" t="s">
        <v>270</v>
      </c>
      <c r="D105" t="s">
        <v>30</v>
      </c>
      <c r="E105" t="s">
        <v>25</v>
      </c>
      <c r="F105" t="s">
        <v>118</v>
      </c>
      <c r="G105">
        <v>70000</v>
      </c>
      <c r="H105" t="s">
        <v>19</v>
      </c>
      <c r="I105" t="s">
        <v>244</v>
      </c>
      <c r="J105">
        <v>6</v>
      </c>
      <c r="K105" t="s">
        <v>27</v>
      </c>
      <c r="L105" t="s">
        <v>22</v>
      </c>
      <c r="M105">
        <v>9</v>
      </c>
    </row>
    <row r="106" spans="1:13" x14ac:dyDescent="0.3">
      <c r="A106">
        <v>103</v>
      </c>
      <c r="B106" t="s">
        <v>271</v>
      </c>
      <c r="C106" t="s">
        <v>272</v>
      </c>
      <c r="D106" t="s">
        <v>66</v>
      </c>
      <c r="E106" t="s">
        <v>17</v>
      </c>
      <c r="F106" t="s">
        <v>121</v>
      </c>
      <c r="G106">
        <v>75000</v>
      </c>
      <c r="H106" t="s">
        <v>19</v>
      </c>
      <c r="I106" t="s">
        <v>244</v>
      </c>
      <c r="J106">
        <v>0</v>
      </c>
      <c r="K106" t="s">
        <v>27</v>
      </c>
      <c r="L106" t="s">
        <v>22</v>
      </c>
      <c r="M106">
        <v>1</v>
      </c>
    </row>
    <row r="107" spans="1:13" x14ac:dyDescent="0.3">
      <c r="A107">
        <v>278</v>
      </c>
      <c r="B107" t="s">
        <v>598</v>
      </c>
      <c r="C107" t="s">
        <v>355</v>
      </c>
      <c r="D107" t="s">
        <v>49</v>
      </c>
      <c r="E107" t="s">
        <v>55</v>
      </c>
      <c r="F107" t="s">
        <v>108</v>
      </c>
      <c r="G107">
        <v>60000</v>
      </c>
      <c r="H107" t="s">
        <v>19</v>
      </c>
      <c r="I107" t="s">
        <v>585</v>
      </c>
      <c r="J107">
        <v>11</v>
      </c>
      <c r="K107" t="s">
        <v>27</v>
      </c>
      <c r="L107" t="s">
        <v>22</v>
      </c>
      <c r="M107">
        <v>1</v>
      </c>
    </row>
    <row r="108" spans="1:13" x14ac:dyDescent="0.3">
      <c r="A108">
        <v>275</v>
      </c>
      <c r="B108" t="s">
        <v>592</v>
      </c>
      <c r="C108" t="s">
        <v>593</v>
      </c>
      <c r="D108" t="s">
        <v>66</v>
      </c>
      <c r="E108" t="s">
        <v>45</v>
      </c>
      <c r="F108" t="s">
        <v>121</v>
      </c>
      <c r="G108">
        <v>93000</v>
      </c>
      <c r="H108" t="s">
        <v>19</v>
      </c>
      <c r="I108" t="s">
        <v>585</v>
      </c>
      <c r="J108">
        <v>18</v>
      </c>
      <c r="K108" t="s">
        <v>27</v>
      </c>
      <c r="L108" t="s">
        <v>22</v>
      </c>
      <c r="M108">
        <v>12</v>
      </c>
    </row>
    <row r="109" spans="1:13" x14ac:dyDescent="0.3">
      <c r="A109">
        <v>272</v>
      </c>
      <c r="B109" t="s">
        <v>587</v>
      </c>
      <c r="C109" t="s">
        <v>588</v>
      </c>
      <c r="D109" t="s">
        <v>16</v>
      </c>
      <c r="E109" t="s">
        <v>50</v>
      </c>
      <c r="F109" t="s">
        <v>266</v>
      </c>
      <c r="G109">
        <v>71000</v>
      </c>
      <c r="H109" t="s">
        <v>19</v>
      </c>
      <c r="I109" t="s">
        <v>585</v>
      </c>
      <c r="J109">
        <v>18</v>
      </c>
      <c r="K109" t="s">
        <v>21</v>
      </c>
      <c r="L109" t="s">
        <v>22</v>
      </c>
      <c r="M109">
        <v>5</v>
      </c>
    </row>
    <row r="110" spans="1:13" x14ac:dyDescent="0.3">
      <c r="A110">
        <v>271</v>
      </c>
      <c r="B110" t="s">
        <v>586</v>
      </c>
      <c r="C110" t="s">
        <v>128</v>
      </c>
      <c r="D110" t="s">
        <v>49</v>
      </c>
      <c r="E110" t="s">
        <v>55</v>
      </c>
      <c r="F110" t="s">
        <v>189</v>
      </c>
      <c r="G110">
        <v>23000</v>
      </c>
      <c r="H110" t="s">
        <v>19</v>
      </c>
      <c r="I110" t="s">
        <v>585</v>
      </c>
      <c r="J110">
        <v>7</v>
      </c>
      <c r="K110" t="s">
        <v>21</v>
      </c>
      <c r="L110" t="s">
        <v>22</v>
      </c>
      <c r="M110">
        <v>9</v>
      </c>
    </row>
    <row r="111" spans="1:13" x14ac:dyDescent="0.3">
      <c r="A111">
        <v>270</v>
      </c>
      <c r="B111" t="s">
        <v>583</v>
      </c>
      <c r="C111" t="s">
        <v>584</v>
      </c>
      <c r="D111" t="s">
        <v>16</v>
      </c>
      <c r="E111" t="s">
        <v>55</v>
      </c>
      <c r="F111" t="s">
        <v>266</v>
      </c>
      <c r="G111">
        <v>52000</v>
      </c>
      <c r="H111" t="s">
        <v>19</v>
      </c>
      <c r="I111" t="s">
        <v>585</v>
      </c>
      <c r="J111">
        <v>16</v>
      </c>
      <c r="K111" t="s">
        <v>21</v>
      </c>
      <c r="L111" t="s">
        <v>46</v>
      </c>
      <c r="M111">
        <v>7</v>
      </c>
    </row>
    <row r="112" spans="1:13" x14ac:dyDescent="0.3">
      <c r="A112">
        <v>269</v>
      </c>
      <c r="B112" t="s">
        <v>581</v>
      </c>
      <c r="C112" t="s">
        <v>582</v>
      </c>
      <c r="D112" t="s">
        <v>54</v>
      </c>
      <c r="E112" t="s">
        <v>39</v>
      </c>
      <c r="F112" t="s">
        <v>56</v>
      </c>
      <c r="G112">
        <v>49000</v>
      </c>
      <c r="H112" t="s">
        <v>19</v>
      </c>
      <c r="I112" t="s">
        <v>493</v>
      </c>
      <c r="J112">
        <v>4</v>
      </c>
      <c r="K112" t="s">
        <v>27</v>
      </c>
      <c r="L112" t="s">
        <v>22</v>
      </c>
      <c r="M112">
        <v>3</v>
      </c>
    </row>
    <row r="113" spans="1:13" x14ac:dyDescent="0.3">
      <c r="A113">
        <v>263</v>
      </c>
      <c r="B113" t="s">
        <v>569</v>
      </c>
      <c r="C113" t="s">
        <v>570</v>
      </c>
      <c r="D113" t="s">
        <v>59</v>
      </c>
      <c r="E113" t="s">
        <v>55</v>
      </c>
      <c r="F113" t="s">
        <v>61</v>
      </c>
      <c r="G113">
        <v>68000</v>
      </c>
      <c r="H113" t="s">
        <v>19</v>
      </c>
      <c r="I113" t="s">
        <v>493</v>
      </c>
      <c r="J113">
        <v>1</v>
      </c>
      <c r="K113" t="s">
        <v>21</v>
      </c>
      <c r="L113" t="s">
        <v>57</v>
      </c>
      <c r="M113">
        <v>12</v>
      </c>
    </row>
    <row r="114" spans="1:13" x14ac:dyDescent="0.3">
      <c r="A114">
        <v>260</v>
      </c>
      <c r="B114" t="s">
        <v>563</v>
      </c>
      <c r="C114" t="s">
        <v>564</v>
      </c>
      <c r="D114" t="s">
        <v>59</v>
      </c>
      <c r="E114" t="s">
        <v>55</v>
      </c>
      <c r="F114" t="s">
        <v>85</v>
      </c>
      <c r="G114">
        <v>85000</v>
      </c>
      <c r="H114" t="s">
        <v>19</v>
      </c>
      <c r="I114" t="s">
        <v>493</v>
      </c>
      <c r="J114">
        <v>5</v>
      </c>
      <c r="K114" t="s">
        <v>27</v>
      </c>
      <c r="L114" t="s">
        <v>22</v>
      </c>
      <c r="M114">
        <v>6</v>
      </c>
    </row>
    <row r="115" spans="1:13" x14ac:dyDescent="0.3">
      <c r="A115">
        <v>112</v>
      </c>
      <c r="B115" t="s">
        <v>289</v>
      </c>
      <c r="C115" t="s">
        <v>290</v>
      </c>
      <c r="D115" t="s">
        <v>66</v>
      </c>
      <c r="E115" t="s">
        <v>50</v>
      </c>
      <c r="F115" t="s">
        <v>67</v>
      </c>
      <c r="G115">
        <v>48000</v>
      </c>
      <c r="H115" t="s">
        <v>19</v>
      </c>
      <c r="I115" t="s">
        <v>244</v>
      </c>
      <c r="J115">
        <v>6</v>
      </c>
      <c r="K115" t="s">
        <v>21</v>
      </c>
      <c r="L115" t="s">
        <v>22</v>
      </c>
      <c r="M115">
        <v>5</v>
      </c>
    </row>
    <row r="116" spans="1:13" x14ac:dyDescent="0.3">
      <c r="A116">
        <v>258</v>
      </c>
      <c r="B116" t="s">
        <v>560</v>
      </c>
      <c r="C116" t="s">
        <v>561</v>
      </c>
      <c r="D116" t="s">
        <v>49</v>
      </c>
      <c r="E116" t="s">
        <v>25</v>
      </c>
      <c r="F116" t="s">
        <v>189</v>
      </c>
      <c r="G116">
        <v>51000</v>
      </c>
      <c r="H116" t="s">
        <v>19</v>
      </c>
      <c r="I116" t="s">
        <v>493</v>
      </c>
      <c r="J116">
        <v>10</v>
      </c>
      <c r="K116" t="s">
        <v>21</v>
      </c>
      <c r="L116" t="s">
        <v>22</v>
      </c>
      <c r="M116">
        <v>5</v>
      </c>
    </row>
    <row r="117" spans="1:13" x14ac:dyDescent="0.3">
      <c r="A117">
        <v>256</v>
      </c>
      <c r="B117" t="s">
        <v>556</v>
      </c>
      <c r="C117" t="s">
        <v>557</v>
      </c>
      <c r="D117" t="s">
        <v>16</v>
      </c>
      <c r="E117" t="s">
        <v>55</v>
      </c>
      <c r="F117" t="s">
        <v>74</v>
      </c>
      <c r="G117">
        <v>50000</v>
      </c>
      <c r="H117" t="s">
        <v>19</v>
      </c>
      <c r="I117" t="s">
        <v>493</v>
      </c>
      <c r="J117">
        <v>17</v>
      </c>
      <c r="K117" t="s">
        <v>27</v>
      </c>
      <c r="L117" t="s">
        <v>22</v>
      </c>
      <c r="M117">
        <v>10</v>
      </c>
    </row>
    <row r="118" spans="1:13" x14ac:dyDescent="0.3">
      <c r="A118">
        <v>249</v>
      </c>
      <c r="B118" t="s">
        <v>543</v>
      </c>
      <c r="C118" t="s">
        <v>544</v>
      </c>
      <c r="D118" t="s">
        <v>49</v>
      </c>
      <c r="E118" t="s">
        <v>60</v>
      </c>
      <c r="F118" t="s">
        <v>108</v>
      </c>
      <c r="G118">
        <v>32000</v>
      </c>
      <c r="H118" t="s">
        <v>19</v>
      </c>
      <c r="I118" t="s">
        <v>493</v>
      </c>
      <c r="J118">
        <v>13</v>
      </c>
      <c r="K118" t="s">
        <v>27</v>
      </c>
      <c r="L118" t="s">
        <v>22</v>
      </c>
      <c r="M118">
        <v>4</v>
      </c>
    </row>
    <row r="119" spans="1:13" x14ac:dyDescent="0.3">
      <c r="A119">
        <v>242</v>
      </c>
      <c r="B119" t="s">
        <v>530</v>
      </c>
      <c r="C119" t="s">
        <v>531</v>
      </c>
      <c r="D119" t="s">
        <v>30</v>
      </c>
      <c r="E119" t="s">
        <v>50</v>
      </c>
      <c r="F119" t="s">
        <v>118</v>
      </c>
      <c r="G119">
        <v>42000</v>
      </c>
      <c r="H119" t="s">
        <v>19</v>
      </c>
      <c r="I119" t="s">
        <v>493</v>
      </c>
      <c r="J119">
        <v>0</v>
      </c>
      <c r="K119" t="s">
        <v>21</v>
      </c>
      <c r="L119" t="s">
        <v>22</v>
      </c>
      <c r="M119">
        <v>3</v>
      </c>
    </row>
    <row r="120" spans="1:13" x14ac:dyDescent="0.3">
      <c r="A120">
        <v>238</v>
      </c>
      <c r="B120" t="s">
        <v>522</v>
      </c>
      <c r="C120" t="s">
        <v>523</v>
      </c>
      <c r="D120" t="s">
        <v>101</v>
      </c>
      <c r="E120" t="s">
        <v>73</v>
      </c>
      <c r="F120" t="s">
        <v>102</v>
      </c>
      <c r="G120">
        <v>122000</v>
      </c>
      <c r="H120" t="s">
        <v>19</v>
      </c>
      <c r="I120" t="s">
        <v>493</v>
      </c>
      <c r="J120">
        <v>7</v>
      </c>
      <c r="K120" t="s">
        <v>21</v>
      </c>
      <c r="L120" t="s">
        <v>22</v>
      </c>
      <c r="M120">
        <v>3</v>
      </c>
    </row>
    <row r="121" spans="1:13" x14ac:dyDescent="0.3">
      <c r="A121">
        <v>236</v>
      </c>
      <c r="B121" t="s">
        <v>518</v>
      </c>
      <c r="C121" t="s">
        <v>519</v>
      </c>
      <c r="D121" t="s">
        <v>16</v>
      </c>
      <c r="E121" t="s">
        <v>25</v>
      </c>
      <c r="F121" t="s">
        <v>74</v>
      </c>
      <c r="G121">
        <v>53000</v>
      </c>
      <c r="H121" t="s">
        <v>19</v>
      </c>
      <c r="I121" t="s">
        <v>493</v>
      </c>
      <c r="J121">
        <v>9</v>
      </c>
      <c r="K121" t="s">
        <v>21</v>
      </c>
      <c r="L121" t="s">
        <v>22</v>
      </c>
      <c r="M121">
        <v>10</v>
      </c>
    </row>
    <row r="122" spans="1:13" x14ac:dyDescent="0.3">
      <c r="A122">
        <v>232</v>
      </c>
      <c r="B122" t="s">
        <v>511</v>
      </c>
      <c r="C122" t="s">
        <v>512</v>
      </c>
      <c r="D122" t="s">
        <v>30</v>
      </c>
      <c r="E122" t="s">
        <v>25</v>
      </c>
      <c r="F122" t="s">
        <v>77</v>
      </c>
      <c r="G122">
        <v>48000</v>
      </c>
      <c r="H122" t="s">
        <v>19</v>
      </c>
      <c r="I122" t="s">
        <v>493</v>
      </c>
      <c r="J122">
        <v>3</v>
      </c>
      <c r="K122" t="s">
        <v>21</v>
      </c>
      <c r="L122" t="s">
        <v>22</v>
      </c>
      <c r="M122">
        <v>0</v>
      </c>
    </row>
    <row r="123" spans="1:13" x14ac:dyDescent="0.3">
      <c r="A123">
        <v>229</v>
      </c>
      <c r="B123" t="s">
        <v>506</v>
      </c>
      <c r="C123" t="s">
        <v>507</v>
      </c>
      <c r="D123" t="s">
        <v>59</v>
      </c>
      <c r="E123" t="s">
        <v>17</v>
      </c>
      <c r="F123" t="s">
        <v>319</v>
      </c>
      <c r="G123">
        <v>82000</v>
      </c>
      <c r="H123" t="s">
        <v>19</v>
      </c>
      <c r="I123" t="s">
        <v>493</v>
      </c>
      <c r="J123">
        <v>11</v>
      </c>
      <c r="K123" t="s">
        <v>27</v>
      </c>
      <c r="L123" t="s">
        <v>57</v>
      </c>
      <c r="M123">
        <v>12</v>
      </c>
    </row>
    <row r="124" spans="1:13" x14ac:dyDescent="0.3">
      <c r="A124">
        <v>224</v>
      </c>
      <c r="B124" t="s">
        <v>497</v>
      </c>
      <c r="C124" t="s">
        <v>498</v>
      </c>
      <c r="D124" t="s">
        <v>90</v>
      </c>
      <c r="E124" t="s">
        <v>39</v>
      </c>
      <c r="F124" t="s">
        <v>91</v>
      </c>
      <c r="G124">
        <v>24000</v>
      </c>
      <c r="H124" t="s">
        <v>19</v>
      </c>
      <c r="I124" t="s">
        <v>493</v>
      </c>
      <c r="J124">
        <v>18</v>
      </c>
      <c r="K124" t="s">
        <v>27</v>
      </c>
      <c r="L124" t="s">
        <v>22</v>
      </c>
      <c r="M124">
        <v>9</v>
      </c>
    </row>
    <row r="125" spans="1:13" x14ac:dyDescent="0.3">
      <c r="A125">
        <v>214</v>
      </c>
      <c r="B125" t="s">
        <v>479</v>
      </c>
      <c r="C125" t="s">
        <v>480</v>
      </c>
      <c r="D125" t="s">
        <v>49</v>
      </c>
      <c r="E125" t="s">
        <v>60</v>
      </c>
      <c r="F125" t="s">
        <v>70</v>
      </c>
      <c r="G125">
        <v>59000</v>
      </c>
      <c r="H125" t="s">
        <v>19</v>
      </c>
      <c r="I125" t="s">
        <v>412</v>
      </c>
      <c r="J125">
        <v>11</v>
      </c>
      <c r="K125" t="s">
        <v>27</v>
      </c>
      <c r="L125" t="s">
        <v>22</v>
      </c>
      <c r="M125">
        <v>0</v>
      </c>
    </row>
    <row r="126" spans="1:13" x14ac:dyDescent="0.3">
      <c r="A126">
        <v>212</v>
      </c>
      <c r="B126" t="s">
        <v>476</v>
      </c>
      <c r="C126" t="s">
        <v>477</v>
      </c>
      <c r="D126" t="s">
        <v>30</v>
      </c>
      <c r="E126" t="s">
        <v>55</v>
      </c>
      <c r="F126" t="s">
        <v>35</v>
      </c>
      <c r="G126">
        <v>33000</v>
      </c>
      <c r="H126" t="s">
        <v>19</v>
      </c>
      <c r="I126" t="s">
        <v>412</v>
      </c>
      <c r="J126">
        <v>9</v>
      </c>
      <c r="K126" t="s">
        <v>27</v>
      </c>
      <c r="L126" t="s">
        <v>22</v>
      </c>
      <c r="M126">
        <v>2</v>
      </c>
    </row>
    <row r="127" spans="1:13" x14ac:dyDescent="0.3">
      <c r="A127">
        <v>211</v>
      </c>
      <c r="B127" t="s">
        <v>474</v>
      </c>
      <c r="C127" t="s">
        <v>475</v>
      </c>
      <c r="D127" t="s">
        <v>49</v>
      </c>
      <c r="E127" t="s">
        <v>60</v>
      </c>
      <c r="F127" t="s">
        <v>189</v>
      </c>
      <c r="G127">
        <v>55000</v>
      </c>
      <c r="H127" t="s">
        <v>19</v>
      </c>
      <c r="I127" t="s">
        <v>412</v>
      </c>
      <c r="J127">
        <v>7</v>
      </c>
      <c r="K127" t="s">
        <v>21</v>
      </c>
      <c r="L127" t="s">
        <v>22</v>
      </c>
      <c r="M127">
        <v>12</v>
      </c>
    </row>
    <row r="128" spans="1:13" x14ac:dyDescent="0.3">
      <c r="A128">
        <v>125</v>
      </c>
      <c r="B128" t="s">
        <v>314</v>
      </c>
      <c r="C128" t="s">
        <v>315</v>
      </c>
      <c r="D128" t="s">
        <v>90</v>
      </c>
      <c r="E128" t="s">
        <v>60</v>
      </c>
      <c r="F128" t="s">
        <v>98</v>
      </c>
      <c r="G128">
        <v>49000</v>
      </c>
      <c r="H128" t="s">
        <v>19</v>
      </c>
      <c r="I128" t="s">
        <v>244</v>
      </c>
      <c r="J128">
        <v>7</v>
      </c>
      <c r="K128" t="s">
        <v>27</v>
      </c>
      <c r="L128" t="s">
        <v>46</v>
      </c>
      <c r="M128">
        <v>12</v>
      </c>
    </row>
    <row r="129" spans="1:13" x14ac:dyDescent="0.3">
      <c r="A129">
        <v>210</v>
      </c>
      <c r="B129" t="s">
        <v>472</v>
      </c>
      <c r="C129" t="s">
        <v>473</v>
      </c>
      <c r="D129" t="s">
        <v>90</v>
      </c>
      <c r="E129" t="s">
        <v>45</v>
      </c>
      <c r="F129" t="s">
        <v>98</v>
      </c>
      <c r="G129">
        <v>16000</v>
      </c>
      <c r="H129" t="s">
        <v>19</v>
      </c>
      <c r="I129" t="s">
        <v>412</v>
      </c>
      <c r="J129">
        <v>1</v>
      </c>
      <c r="K129" t="s">
        <v>27</v>
      </c>
      <c r="L129" t="s">
        <v>57</v>
      </c>
      <c r="M129">
        <v>0</v>
      </c>
    </row>
    <row r="130" spans="1:13" x14ac:dyDescent="0.3">
      <c r="A130">
        <v>209</v>
      </c>
      <c r="B130" t="s">
        <v>470</v>
      </c>
      <c r="C130" t="s">
        <v>471</v>
      </c>
      <c r="D130" t="s">
        <v>54</v>
      </c>
      <c r="E130" t="s">
        <v>73</v>
      </c>
      <c r="F130" t="s">
        <v>56</v>
      </c>
      <c r="G130">
        <v>69000</v>
      </c>
      <c r="H130" t="s">
        <v>19</v>
      </c>
      <c r="I130" t="s">
        <v>412</v>
      </c>
      <c r="J130">
        <v>15</v>
      </c>
      <c r="K130" t="s">
        <v>27</v>
      </c>
      <c r="L130" t="s">
        <v>22</v>
      </c>
      <c r="M130">
        <v>10</v>
      </c>
    </row>
    <row r="131" spans="1:13" x14ac:dyDescent="0.3">
      <c r="A131">
        <v>203</v>
      </c>
      <c r="B131" t="s">
        <v>460</v>
      </c>
      <c r="C131" t="s">
        <v>461</v>
      </c>
      <c r="D131" t="s">
        <v>16</v>
      </c>
      <c r="E131" t="s">
        <v>73</v>
      </c>
      <c r="F131" t="s">
        <v>18</v>
      </c>
      <c r="G131">
        <v>91000</v>
      </c>
      <c r="H131" t="s">
        <v>19</v>
      </c>
      <c r="I131" t="s">
        <v>412</v>
      </c>
      <c r="J131">
        <v>5</v>
      </c>
      <c r="K131" t="s">
        <v>21</v>
      </c>
      <c r="L131" t="s">
        <v>22</v>
      </c>
      <c r="M131">
        <v>12</v>
      </c>
    </row>
    <row r="132" spans="1:13" x14ac:dyDescent="0.3">
      <c r="A132">
        <v>201</v>
      </c>
      <c r="B132" t="s">
        <v>457</v>
      </c>
      <c r="C132" t="s">
        <v>224</v>
      </c>
      <c r="D132" t="s">
        <v>59</v>
      </c>
      <c r="E132" t="s">
        <v>55</v>
      </c>
      <c r="F132" t="s">
        <v>80</v>
      </c>
      <c r="G132">
        <v>67000</v>
      </c>
      <c r="H132" t="s">
        <v>19</v>
      </c>
      <c r="I132" t="s">
        <v>412</v>
      </c>
      <c r="J132">
        <v>11</v>
      </c>
      <c r="K132" t="s">
        <v>27</v>
      </c>
      <c r="L132" t="s">
        <v>22</v>
      </c>
      <c r="M132">
        <v>4</v>
      </c>
    </row>
    <row r="133" spans="1:13" x14ac:dyDescent="0.3">
      <c r="A133">
        <v>130</v>
      </c>
      <c r="B133" t="s">
        <v>324</v>
      </c>
      <c r="C133" t="s">
        <v>325</v>
      </c>
      <c r="D133" t="s">
        <v>30</v>
      </c>
      <c r="E133" t="s">
        <v>60</v>
      </c>
      <c r="F133" t="s">
        <v>35</v>
      </c>
      <c r="G133">
        <v>77000</v>
      </c>
      <c r="H133" t="s">
        <v>19</v>
      </c>
      <c r="I133" t="s">
        <v>244</v>
      </c>
      <c r="J133">
        <v>17</v>
      </c>
      <c r="K133" t="s">
        <v>21</v>
      </c>
      <c r="L133" t="s">
        <v>22</v>
      </c>
      <c r="M133">
        <v>0</v>
      </c>
    </row>
    <row r="134" spans="1:13" x14ac:dyDescent="0.3">
      <c r="A134">
        <v>198</v>
      </c>
      <c r="B134" t="s">
        <v>452</v>
      </c>
      <c r="C134" t="s">
        <v>184</v>
      </c>
      <c r="D134" t="s">
        <v>49</v>
      </c>
      <c r="E134" t="s">
        <v>73</v>
      </c>
      <c r="F134" t="s">
        <v>189</v>
      </c>
      <c r="G134">
        <v>49000</v>
      </c>
      <c r="H134" t="s">
        <v>19</v>
      </c>
      <c r="I134" t="s">
        <v>412</v>
      </c>
      <c r="J134">
        <v>16</v>
      </c>
      <c r="K134" t="s">
        <v>21</v>
      </c>
      <c r="L134" t="s">
        <v>57</v>
      </c>
      <c r="M134">
        <v>2</v>
      </c>
    </row>
    <row r="135" spans="1:13" x14ac:dyDescent="0.3">
      <c r="A135">
        <v>194</v>
      </c>
      <c r="B135" t="s">
        <v>445</v>
      </c>
      <c r="C135" t="s">
        <v>446</v>
      </c>
      <c r="D135" t="s">
        <v>101</v>
      </c>
      <c r="E135" t="s">
        <v>17</v>
      </c>
      <c r="F135" t="s">
        <v>126</v>
      </c>
      <c r="G135">
        <v>62000</v>
      </c>
      <c r="H135" t="s">
        <v>19</v>
      </c>
      <c r="I135" t="s">
        <v>412</v>
      </c>
      <c r="J135">
        <v>3</v>
      </c>
      <c r="K135" t="s">
        <v>27</v>
      </c>
      <c r="L135" t="s">
        <v>22</v>
      </c>
      <c r="M135">
        <v>12</v>
      </c>
    </row>
    <row r="136" spans="1:13" x14ac:dyDescent="0.3">
      <c r="A136">
        <v>191</v>
      </c>
      <c r="B136" t="s">
        <v>440</v>
      </c>
      <c r="C136" t="s">
        <v>398</v>
      </c>
      <c r="D136" t="s">
        <v>49</v>
      </c>
      <c r="E136" t="s">
        <v>39</v>
      </c>
      <c r="F136" t="s">
        <v>108</v>
      </c>
      <c r="G136">
        <v>64000</v>
      </c>
      <c r="H136" t="s">
        <v>19</v>
      </c>
      <c r="I136" t="s">
        <v>412</v>
      </c>
      <c r="J136">
        <v>16</v>
      </c>
      <c r="K136" t="s">
        <v>21</v>
      </c>
      <c r="L136" t="s">
        <v>22</v>
      </c>
      <c r="M136">
        <v>3</v>
      </c>
    </row>
    <row r="137" spans="1:13" x14ac:dyDescent="0.3">
      <c r="A137">
        <v>190</v>
      </c>
      <c r="B137" t="s">
        <v>439</v>
      </c>
      <c r="C137" t="s">
        <v>204</v>
      </c>
      <c r="D137" t="s">
        <v>49</v>
      </c>
      <c r="E137" t="s">
        <v>60</v>
      </c>
      <c r="F137" t="s">
        <v>189</v>
      </c>
      <c r="G137">
        <v>35000</v>
      </c>
      <c r="H137" t="s">
        <v>19</v>
      </c>
      <c r="I137" t="s">
        <v>412</v>
      </c>
      <c r="J137">
        <v>12</v>
      </c>
      <c r="K137" t="s">
        <v>27</v>
      </c>
      <c r="L137" t="s">
        <v>22</v>
      </c>
      <c r="M137">
        <v>9</v>
      </c>
    </row>
    <row r="138" spans="1:13" x14ac:dyDescent="0.3">
      <c r="A138">
        <v>135</v>
      </c>
      <c r="B138" t="s">
        <v>335</v>
      </c>
      <c r="C138" t="s">
        <v>336</v>
      </c>
      <c r="D138" t="s">
        <v>66</v>
      </c>
      <c r="E138" t="s">
        <v>55</v>
      </c>
      <c r="F138" t="s">
        <v>121</v>
      </c>
      <c r="G138">
        <v>67000</v>
      </c>
      <c r="H138" t="s">
        <v>19</v>
      </c>
      <c r="I138" t="s">
        <v>334</v>
      </c>
      <c r="J138">
        <v>6</v>
      </c>
      <c r="K138" t="s">
        <v>27</v>
      </c>
      <c r="L138" t="s">
        <v>57</v>
      </c>
      <c r="M138">
        <v>1</v>
      </c>
    </row>
    <row r="139" spans="1:13" x14ac:dyDescent="0.3">
      <c r="A139">
        <v>182</v>
      </c>
      <c r="B139" t="s">
        <v>423</v>
      </c>
      <c r="C139" t="s">
        <v>424</v>
      </c>
      <c r="D139" t="s">
        <v>59</v>
      </c>
      <c r="E139" t="s">
        <v>25</v>
      </c>
      <c r="F139" t="s">
        <v>85</v>
      </c>
      <c r="G139">
        <v>70000</v>
      </c>
      <c r="H139" t="s">
        <v>19</v>
      </c>
      <c r="I139" t="s">
        <v>412</v>
      </c>
      <c r="J139">
        <v>5</v>
      </c>
      <c r="K139" t="s">
        <v>27</v>
      </c>
      <c r="L139" t="s">
        <v>57</v>
      </c>
      <c r="M139">
        <v>10</v>
      </c>
    </row>
    <row r="140" spans="1:13" x14ac:dyDescent="0.3">
      <c r="A140">
        <v>178</v>
      </c>
      <c r="B140" t="s">
        <v>415</v>
      </c>
      <c r="C140" t="s">
        <v>416</v>
      </c>
      <c r="D140" t="s">
        <v>49</v>
      </c>
      <c r="E140" t="s">
        <v>17</v>
      </c>
      <c r="F140" t="s">
        <v>70</v>
      </c>
      <c r="G140">
        <v>43000</v>
      </c>
      <c r="H140" t="s">
        <v>19</v>
      </c>
      <c r="I140" t="s">
        <v>412</v>
      </c>
      <c r="J140">
        <v>1</v>
      </c>
      <c r="K140" t="s">
        <v>27</v>
      </c>
      <c r="L140" t="s">
        <v>22</v>
      </c>
      <c r="M140">
        <v>11</v>
      </c>
    </row>
    <row r="141" spans="1:13" x14ac:dyDescent="0.3">
      <c r="A141">
        <v>176</v>
      </c>
      <c r="B141" t="s">
        <v>410</v>
      </c>
      <c r="C141" t="s">
        <v>411</v>
      </c>
      <c r="D141" t="s">
        <v>49</v>
      </c>
      <c r="E141" t="s">
        <v>25</v>
      </c>
      <c r="F141" t="s">
        <v>108</v>
      </c>
      <c r="G141">
        <v>60000</v>
      </c>
      <c r="H141" t="s">
        <v>19</v>
      </c>
      <c r="I141" t="s">
        <v>412</v>
      </c>
      <c r="J141">
        <v>16</v>
      </c>
      <c r="K141" t="s">
        <v>27</v>
      </c>
      <c r="L141" t="s">
        <v>22</v>
      </c>
      <c r="M141">
        <v>2</v>
      </c>
    </row>
    <row r="142" spans="1:13" x14ac:dyDescent="0.3">
      <c r="A142">
        <v>174</v>
      </c>
      <c r="B142" t="s">
        <v>406</v>
      </c>
      <c r="C142" t="s">
        <v>407</v>
      </c>
      <c r="D142" t="s">
        <v>90</v>
      </c>
      <c r="E142" t="s">
        <v>60</v>
      </c>
      <c r="F142" t="s">
        <v>113</v>
      </c>
      <c r="G142">
        <v>21000</v>
      </c>
      <c r="H142" t="s">
        <v>19</v>
      </c>
      <c r="I142" t="s">
        <v>334</v>
      </c>
      <c r="J142">
        <v>5</v>
      </c>
      <c r="K142" t="s">
        <v>27</v>
      </c>
      <c r="L142" t="s">
        <v>22</v>
      </c>
      <c r="M142">
        <v>12</v>
      </c>
    </row>
    <row r="143" spans="1:13" x14ac:dyDescent="0.3">
      <c r="A143">
        <v>172</v>
      </c>
      <c r="B143" t="s">
        <v>403</v>
      </c>
      <c r="C143" t="s">
        <v>142</v>
      </c>
      <c r="D143" t="s">
        <v>66</v>
      </c>
      <c r="E143" t="s">
        <v>39</v>
      </c>
      <c r="F143" t="s">
        <v>279</v>
      </c>
      <c r="G143">
        <v>55000</v>
      </c>
      <c r="H143" t="s">
        <v>19</v>
      </c>
      <c r="I143" t="s">
        <v>334</v>
      </c>
      <c r="J143">
        <v>15</v>
      </c>
      <c r="K143" t="s">
        <v>21</v>
      </c>
      <c r="L143" t="s">
        <v>57</v>
      </c>
      <c r="M143">
        <v>10</v>
      </c>
    </row>
    <row r="144" spans="1:13" x14ac:dyDescent="0.3">
      <c r="A144">
        <v>171</v>
      </c>
      <c r="B144" t="s">
        <v>401</v>
      </c>
      <c r="C144" t="s">
        <v>402</v>
      </c>
      <c r="D144" t="s">
        <v>66</v>
      </c>
      <c r="E144" t="s">
        <v>25</v>
      </c>
      <c r="F144" t="s">
        <v>153</v>
      </c>
      <c r="G144">
        <v>93000</v>
      </c>
      <c r="H144" t="s">
        <v>19</v>
      </c>
      <c r="I144" t="s">
        <v>334</v>
      </c>
      <c r="J144">
        <v>14</v>
      </c>
      <c r="K144" t="s">
        <v>21</v>
      </c>
      <c r="L144" t="s">
        <v>22</v>
      </c>
      <c r="M144">
        <v>11</v>
      </c>
    </row>
    <row r="145" spans="1:13" x14ac:dyDescent="0.3">
      <c r="A145">
        <v>167</v>
      </c>
      <c r="B145" t="s">
        <v>394</v>
      </c>
      <c r="C145" t="s">
        <v>294</v>
      </c>
      <c r="D145" t="s">
        <v>54</v>
      </c>
      <c r="E145" t="s">
        <v>39</v>
      </c>
      <c r="F145" t="s">
        <v>200</v>
      </c>
      <c r="G145">
        <v>70000</v>
      </c>
      <c r="H145" t="s">
        <v>19</v>
      </c>
      <c r="I145" t="s">
        <v>334</v>
      </c>
      <c r="J145">
        <v>16</v>
      </c>
      <c r="K145" t="s">
        <v>21</v>
      </c>
      <c r="L145" t="s">
        <v>46</v>
      </c>
      <c r="M145">
        <v>6</v>
      </c>
    </row>
    <row r="146" spans="1:13" x14ac:dyDescent="0.3">
      <c r="A146">
        <v>143</v>
      </c>
      <c r="B146" t="s">
        <v>350</v>
      </c>
      <c r="C146" t="s">
        <v>351</v>
      </c>
      <c r="D146" t="s">
        <v>59</v>
      </c>
      <c r="E146" t="s">
        <v>17</v>
      </c>
      <c r="F146" t="s">
        <v>85</v>
      </c>
      <c r="G146">
        <v>47000</v>
      </c>
      <c r="H146" t="s">
        <v>19</v>
      </c>
      <c r="I146" t="s">
        <v>334</v>
      </c>
      <c r="J146">
        <v>2</v>
      </c>
      <c r="K146" t="s">
        <v>21</v>
      </c>
      <c r="L146" t="s">
        <v>22</v>
      </c>
      <c r="M146">
        <v>1</v>
      </c>
    </row>
    <row r="147" spans="1:13" x14ac:dyDescent="0.3">
      <c r="A147">
        <v>144</v>
      </c>
      <c r="B147" t="s">
        <v>352</v>
      </c>
      <c r="C147" t="s">
        <v>353</v>
      </c>
      <c r="D147" t="s">
        <v>30</v>
      </c>
      <c r="E147" t="s">
        <v>45</v>
      </c>
      <c r="F147" t="s">
        <v>31</v>
      </c>
      <c r="G147">
        <v>67000</v>
      </c>
      <c r="H147" t="s">
        <v>19</v>
      </c>
      <c r="I147" t="s">
        <v>334</v>
      </c>
      <c r="J147">
        <v>5</v>
      </c>
      <c r="K147" t="s">
        <v>27</v>
      </c>
      <c r="L147" t="s">
        <v>22</v>
      </c>
      <c r="M147">
        <v>10</v>
      </c>
    </row>
    <row r="148" spans="1:13" x14ac:dyDescent="0.3">
      <c r="A148">
        <v>166</v>
      </c>
      <c r="B148" t="s">
        <v>392</v>
      </c>
      <c r="C148" t="s">
        <v>393</v>
      </c>
      <c r="D148" t="s">
        <v>101</v>
      </c>
      <c r="E148" t="s">
        <v>60</v>
      </c>
      <c r="F148" t="s">
        <v>126</v>
      </c>
      <c r="G148">
        <v>141000</v>
      </c>
      <c r="H148" t="s">
        <v>19</v>
      </c>
      <c r="I148" t="s">
        <v>334</v>
      </c>
      <c r="J148">
        <v>0</v>
      </c>
      <c r="K148" t="s">
        <v>21</v>
      </c>
      <c r="L148" t="s">
        <v>22</v>
      </c>
      <c r="M148">
        <v>10</v>
      </c>
    </row>
    <row r="149" spans="1:13" x14ac:dyDescent="0.3">
      <c r="A149">
        <v>163</v>
      </c>
      <c r="B149" t="s">
        <v>387</v>
      </c>
      <c r="C149" t="s">
        <v>388</v>
      </c>
      <c r="D149" t="s">
        <v>54</v>
      </c>
      <c r="E149" t="s">
        <v>45</v>
      </c>
      <c r="F149" t="s">
        <v>158</v>
      </c>
      <c r="G149">
        <v>51000</v>
      </c>
      <c r="H149" t="s">
        <v>19</v>
      </c>
      <c r="I149" t="s">
        <v>334</v>
      </c>
      <c r="J149">
        <v>17</v>
      </c>
      <c r="K149" t="s">
        <v>27</v>
      </c>
      <c r="L149" t="s">
        <v>46</v>
      </c>
      <c r="M149">
        <v>12</v>
      </c>
    </row>
    <row r="150" spans="1:13" x14ac:dyDescent="0.3">
      <c r="A150">
        <v>161</v>
      </c>
      <c r="B150" t="s">
        <v>384</v>
      </c>
      <c r="C150" t="s">
        <v>385</v>
      </c>
      <c r="D150" t="s">
        <v>54</v>
      </c>
      <c r="E150" t="s">
        <v>60</v>
      </c>
      <c r="F150" t="s">
        <v>56</v>
      </c>
      <c r="G150">
        <v>28000</v>
      </c>
      <c r="H150" t="s">
        <v>19</v>
      </c>
      <c r="I150" t="s">
        <v>334</v>
      </c>
      <c r="J150">
        <v>11</v>
      </c>
      <c r="K150" t="s">
        <v>27</v>
      </c>
      <c r="L150" t="s">
        <v>57</v>
      </c>
      <c r="M150">
        <v>1</v>
      </c>
    </row>
    <row r="151" spans="1:13" x14ac:dyDescent="0.3">
      <c r="A151">
        <v>160</v>
      </c>
      <c r="B151" t="s">
        <v>383</v>
      </c>
      <c r="C151" t="s">
        <v>216</v>
      </c>
      <c r="D151" t="s">
        <v>101</v>
      </c>
      <c r="E151" t="s">
        <v>39</v>
      </c>
      <c r="F151" t="s">
        <v>102</v>
      </c>
      <c r="G151">
        <v>88000</v>
      </c>
      <c r="H151" t="s">
        <v>19</v>
      </c>
      <c r="I151" t="s">
        <v>334</v>
      </c>
      <c r="J151">
        <v>18</v>
      </c>
      <c r="K151" t="s">
        <v>21</v>
      </c>
      <c r="L151" t="s">
        <v>46</v>
      </c>
      <c r="M151">
        <v>12</v>
      </c>
    </row>
    <row r="152" spans="1:13" x14ac:dyDescent="0.3">
      <c r="A152">
        <v>155</v>
      </c>
      <c r="B152" t="s">
        <v>373</v>
      </c>
      <c r="C152" t="s">
        <v>374</v>
      </c>
      <c r="D152" t="s">
        <v>101</v>
      </c>
      <c r="E152" t="s">
        <v>17</v>
      </c>
      <c r="F152" t="s">
        <v>349</v>
      </c>
      <c r="G152">
        <v>77000</v>
      </c>
      <c r="H152" t="s">
        <v>19</v>
      </c>
      <c r="I152" t="s">
        <v>334</v>
      </c>
      <c r="J152">
        <v>1</v>
      </c>
      <c r="K152" t="s">
        <v>21</v>
      </c>
      <c r="L152" t="s">
        <v>22</v>
      </c>
      <c r="M152">
        <v>10</v>
      </c>
    </row>
    <row r="153" spans="1:13" x14ac:dyDescent="0.3">
      <c r="A153">
        <v>153</v>
      </c>
      <c r="B153" t="s">
        <v>369</v>
      </c>
      <c r="C153" t="s">
        <v>370</v>
      </c>
      <c r="D153" t="s">
        <v>66</v>
      </c>
      <c r="E153" t="s">
        <v>55</v>
      </c>
      <c r="F153" t="s">
        <v>279</v>
      </c>
      <c r="G153">
        <v>92000</v>
      </c>
      <c r="H153" t="s">
        <v>19</v>
      </c>
      <c r="I153" t="s">
        <v>334</v>
      </c>
      <c r="J153">
        <v>14</v>
      </c>
      <c r="K153" t="s">
        <v>27</v>
      </c>
      <c r="L153" t="s">
        <v>22</v>
      </c>
      <c r="M153">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0285-0857-40D5-BAD5-2A7FEEEEF62C}">
  <dimension ref="A3:AL415"/>
  <sheetViews>
    <sheetView topLeftCell="L37" zoomScale="65" workbookViewId="0">
      <selection activeCell="S60" sqref="S60"/>
    </sheetView>
  </sheetViews>
  <sheetFormatPr defaultRowHeight="14.4" x14ac:dyDescent="0.3"/>
  <cols>
    <col min="1" max="1" width="14.109375" bestFit="1" customWidth="1"/>
    <col min="2" max="2" width="15" bestFit="1" customWidth="1"/>
    <col min="3" max="3" width="6.109375" bestFit="1" customWidth="1"/>
    <col min="4" max="4" width="18.109375" bestFit="1" customWidth="1"/>
    <col min="5" max="5" width="15" bestFit="1" customWidth="1"/>
    <col min="6" max="6" width="6.109375" bestFit="1" customWidth="1"/>
    <col min="7" max="7" width="18.44140625" bestFit="1" customWidth="1"/>
    <col min="15" max="15" width="19.44140625" bestFit="1" customWidth="1"/>
    <col min="16" max="16" width="22.88671875" bestFit="1" customWidth="1"/>
    <col min="18" max="18" width="14.109375" bestFit="1" customWidth="1"/>
    <col min="19" max="19" width="16" bestFit="1" customWidth="1"/>
    <col min="20" max="20" width="14.109375" bestFit="1" customWidth="1"/>
    <col min="25" max="25" width="14.109375" bestFit="1" customWidth="1"/>
    <col min="26" max="26" width="21.109375" bestFit="1" customWidth="1"/>
    <col min="34" max="34" width="20.33203125" bestFit="1" customWidth="1"/>
    <col min="35" max="35" width="16" bestFit="1" customWidth="1"/>
  </cols>
  <sheetData>
    <row r="3" spans="1:38" x14ac:dyDescent="0.3">
      <c r="A3" s="6" t="s">
        <v>1025</v>
      </c>
      <c r="B3" t="s">
        <v>1027</v>
      </c>
    </row>
    <row r="4" spans="1:38" x14ac:dyDescent="0.3">
      <c r="A4" s="7" t="s">
        <v>45</v>
      </c>
      <c r="B4" s="29">
        <v>650</v>
      </c>
    </row>
    <row r="5" spans="1:38" x14ac:dyDescent="0.3">
      <c r="A5" s="7" t="s">
        <v>25</v>
      </c>
      <c r="B5" s="29">
        <v>615</v>
      </c>
      <c r="S5" s="19"/>
      <c r="T5" s="20"/>
      <c r="U5" s="21"/>
    </row>
    <row r="6" spans="1:38" x14ac:dyDescent="0.3">
      <c r="A6" s="7" t="s">
        <v>60</v>
      </c>
      <c r="B6" s="29">
        <v>535</v>
      </c>
      <c r="S6" s="22"/>
      <c r="T6" s="23"/>
      <c r="U6" s="24"/>
    </row>
    <row r="7" spans="1:38" x14ac:dyDescent="0.3">
      <c r="A7" s="7" t="s">
        <v>17</v>
      </c>
      <c r="B7" s="29">
        <v>487</v>
      </c>
      <c r="S7" s="22"/>
      <c r="T7" s="23"/>
      <c r="U7" s="24"/>
    </row>
    <row r="8" spans="1:38" x14ac:dyDescent="0.3">
      <c r="A8" s="7" t="s">
        <v>55</v>
      </c>
      <c r="B8" s="29">
        <v>612</v>
      </c>
      <c r="S8" s="22"/>
      <c r="T8" s="23"/>
      <c r="U8" s="24"/>
    </row>
    <row r="9" spans="1:38" x14ac:dyDescent="0.3">
      <c r="A9" s="7" t="s">
        <v>39</v>
      </c>
      <c r="B9" s="29">
        <v>624</v>
      </c>
      <c r="S9" s="22"/>
      <c r="T9" s="23"/>
      <c r="U9" s="24"/>
    </row>
    <row r="10" spans="1:38" x14ac:dyDescent="0.3">
      <c r="A10" s="7" t="s">
        <v>73</v>
      </c>
      <c r="B10" s="29">
        <v>692</v>
      </c>
      <c r="S10" s="22"/>
      <c r="T10" s="23"/>
      <c r="U10" s="24"/>
    </row>
    <row r="11" spans="1:38" x14ac:dyDescent="0.3">
      <c r="A11" s="7" t="s">
        <v>50</v>
      </c>
      <c r="B11" s="29">
        <v>613</v>
      </c>
      <c r="S11" s="22"/>
      <c r="T11" s="23"/>
      <c r="U11" s="24"/>
    </row>
    <row r="12" spans="1:38" x14ac:dyDescent="0.3">
      <c r="A12" s="7" t="s">
        <v>1026</v>
      </c>
      <c r="B12" s="29">
        <v>4828</v>
      </c>
      <c r="S12" s="22"/>
      <c r="T12" s="23"/>
      <c r="U12" s="24"/>
    </row>
    <row r="13" spans="1:38" x14ac:dyDescent="0.3">
      <c r="S13" s="22"/>
      <c r="T13" s="23"/>
      <c r="U13" s="24"/>
    </row>
    <row r="14" spans="1:38" x14ac:dyDescent="0.3">
      <c r="S14" s="22"/>
      <c r="T14" s="23"/>
      <c r="U14" s="24"/>
    </row>
    <row r="15" spans="1:38" x14ac:dyDescent="0.3">
      <c r="S15" s="22"/>
      <c r="T15" s="23"/>
      <c r="U15" s="24"/>
      <c r="AH15" s="9" t="s">
        <v>1025</v>
      </c>
      <c r="AI15" s="13" t="s">
        <v>1035</v>
      </c>
    </row>
    <row r="16" spans="1:38" x14ac:dyDescent="0.3">
      <c r="S16" s="22"/>
      <c r="T16" s="23"/>
      <c r="U16" s="24"/>
      <c r="AH16" s="11" t="s">
        <v>249</v>
      </c>
      <c r="AI16" s="10">
        <v>288000</v>
      </c>
      <c r="AL16" s="10" t="str">
        <f>AH16</f>
        <v>Divya Malhotra</v>
      </c>
    </row>
    <row r="17" spans="2:35" x14ac:dyDescent="0.3">
      <c r="S17" s="22"/>
      <c r="T17" s="23"/>
      <c r="U17" s="24"/>
      <c r="Y17" s="12" t="s">
        <v>1025</v>
      </c>
      <c r="Z17" s="13" t="s">
        <v>1030</v>
      </c>
      <c r="AH17" s="11" t="s">
        <v>321</v>
      </c>
      <c r="AI17" s="10">
        <v>266000</v>
      </c>
    </row>
    <row r="18" spans="2:35" x14ac:dyDescent="0.3">
      <c r="S18" s="22"/>
      <c r="T18" s="23"/>
      <c r="U18" s="24"/>
      <c r="Y18" s="14" t="s">
        <v>806</v>
      </c>
      <c r="Z18" s="13">
        <v>48</v>
      </c>
      <c r="AH18" s="11" t="s">
        <v>325</v>
      </c>
      <c r="AI18" s="10">
        <v>261000</v>
      </c>
    </row>
    <row r="19" spans="2:35" x14ac:dyDescent="0.3">
      <c r="S19" s="22"/>
      <c r="T19" s="23"/>
      <c r="U19" s="24"/>
      <c r="Y19" s="14" t="s">
        <v>885</v>
      </c>
      <c r="Z19" s="13">
        <v>47</v>
      </c>
      <c r="AH19" s="11" t="s">
        <v>191</v>
      </c>
      <c r="AI19" s="10">
        <v>255000</v>
      </c>
    </row>
    <row r="20" spans="2:35" x14ac:dyDescent="0.3">
      <c r="S20" s="22"/>
      <c r="T20" s="23"/>
      <c r="U20" s="24"/>
      <c r="Y20" s="14" t="s">
        <v>959</v>
      </c>
      <c r="Z20" s="13">
        <v>42</v>
      </c>
      <c r="AH20" s="11" t="s">
        <v>420</v>
      </c>
      <c r="AI20" s="10">
        <v>233000</v>
      </c>
    </row>
    <row r="21" spans="2:35" x14ac:dyDescent="0.3">
      <c r="S21" s="22"/>
      <c r="T21" s="23"/>
      <c r="U21" s="24"/>
      <c r="Y21" s="14" t="s">
        <v>20</v>
      </c>
      <c r="Z21" s="13">
        <v>42</v>
      </c>
      <c r="AH21" s="11" t="s">
        <v>595</v>
      </c>
      <c r="AI21" s="10">
        <v>224000</v>
      </c>
    </row>
    <row r="22" spans="2:35" x14ac:dyDescent="0.3">
      <c r="S22" s="25"/>
      <c r="T22" s="26"/>
      <c r="U22" s="27"/>
      <c r="Y22" s="14" t="s">
        <v>148</v>
      </c>
      <c r="Z22" s="13">
        <v>46</v>
      </c>
      <c r="AH22" s="11" t="s">
        <v>578</v>
      </c>
      <c r="AI22" s="10">
        <v>222000</v>
      </c>
    </row>
    <row r="23" spans="2:35" x14ac:dyDescent="0.3">
      <c r="Y23" s="14" t="s">
        <v>244</v>
      </c>
      <c r="Z23" s="13">
        <v>45</v>
      </c>
      <c r="AH23" s="11" t="s">
        <v>537</v>
      </c>
      <c r="AI23" s="10">
        <v>211000</v>
      </c>
    </row>
    <row r="24" spans="2:35" x14ac:dyDescent="0.3">
      <c r="Y24" s="14" t="s">
        <v>334</v>
      </c>
      <c r="Z24" s="13">
        <v>42</v>
      </c>
      <c r="AH24" s="11" t="s">
        <v>624</v>
      </c>
      <c r="AI24" s="10">
        <v>211000</v>
      </c>
    </row>
    <row r="25" spans="2:35" x14ac:dyDescent="0.3">
      <c r="B25" s="9" t="s">
        <v>1025</v>
      </c>
      <c r="C25" s="10" t="s">
        <v>1029</v>
      </c>
      <c r="Y25" s="14" t="s">
        <v>412</v>
      </c>
      <c r="Z25" s="13">
        <v>45</v>
      </c>
      <c r="AH25" s="11" t="s">
        <v>193</v>
      </c>
      <c r="AI25" s="10">
        <v>208000</v>
      </c>
    </row>
    <row r="26" spans="2:35" x14ac:dyDescent="0.3">
      <c r="B26" s="11" t="s">
        <v>90</v>
      </c>
      <c r="C26" s="10">
        <v>6.1733333333333329</v>
      </c>
      <c r="Y26" s="14" t="s">
        <v>493</v>
      </c>
      <c r="Z26" s="13">
        <v>49</v>
      </c>
      <c r="AH26" s="11" t="s">
        <v>449</v>
      </c>
      <c r="AI26" s="10">
        <v>201000</v>
      </c>
    </row>
    <row r="27" spans="2:35" x14ac:dyDescent="0.3">
      <c r="B27" s="11" t="s">
        <v>49</v>
      </c>
      <c r="C27" s="10">
        <v>5.4743589743589745</v>
      </c>
      <c r="Y27" s="11" t="s">
        <v>585</v>
      </c>
      <c r="Z27" s="13">
        <v>49</v>
      </c>
      <c r="AH27" s="11" t="s">
        <v>224</v>
      </c>
      <c r="AI27" s="10">
        <v>189000</v>
      </c>
    </row>
    <row r="28" spans="2:35" x14ac:dyDescent="0.3">
      <c r="B28" s="11" t="s">
        <v>66</v>
      </c>
      <c r="C28" s="10">
        <v>5.6533333333333333</v>
      </c>
      <c r="Y28" s="11" t="s">
        <v>668</v>
      </c>
      <c r="Z28" s="13">
        <v>42</v>
      </c>
      <c r="AH28" s="11" t="s">
        <v>344</v>
      </c>
      <c r="AI28" s="10">
        <v>188000</v>
      </c>
    </row>
    <row r="29" spans="2:35" x14ac:dyDescent="0.3">
      <c r="B29" s="11" t="s">
        <v>30</v>
      </c>
      <c r="C29" s="10">
        <v>6.1904761904761907</v>
      </c>
      <c r="Y29" s="11" t="s">
        <v>739</v>
      </c>
      <c r="Z29" s="13">
        <v>45</v>
      </c>
      <c r="AH29" s="11" t="s">
        <v>531</v>
      </c>
      <c r="AI29" s="10">
        <v>186000</v>
      </c>
    </row>
    <row r="30" spans="2:35" x14ac:dyDescent="0.3">
      <c r="B30" s="11" t="s">
        <v>101</v>
      </c>
      <c r="C30" s="10">
        <v>5.8965517241379306</v>
      </c>
      <c r="Y30" s="11" t="s">
        <v>1026</v>
      </c>
      <c r="Z30" s="10">
        <v>542</v>
      </c>
      <c r="AH30" s="11" t="s">
        <v>428</v>
      </c>
      <c r="AI30" s="10">
        <v>179000</v>
      </c>
    </row>
    <row r="31" spans="2:35" x14ac:dyDescent="0.3">
      <c r="B31" s="11" t="s">
        <v>16</v>
      </c>
      <c r="C31" s="10">
        <v>7.2631578947368425</v>
      </c>
      <c r="AH31" s="11" t="s">
        <v>331</v>
      </c>
      <c r="AI31" s="10">
        <v>175000</v>
      </c>
    </row>
    <row r="32" spans="2:35" x14ac:dyDescent="0.3">
      <c r="B32" s="11" t="s">
        <v>54</v>
      </c>
      <c r="C32" s="10">
        <v>6.1594202898550723</v>
      </c>
      <c r="AH32" s="11" t="s">
        <v>44</v>
      </c>
      <c r="AI32" s="10">
        <v>168000</v>
      </c>
    </row>
    <row r="33" spans="2:35" x14ac:dyDescent="0.3">
      <c r="B33" s="11" t="s">
        <v>59</v>
      </c>
      <c r="C33" s="10">
        <v>5.8955223880597014</v>
      </c>
      <c r="AH33" s="11" t="s">
        <v>24</v>
      </c>
      <c r="AI33" s="10">
        <v>165000</v>
      </c>
    </row>
    <row r="34" spans="2:35" x14ac:dyDescent="0.3">
      <c r="B34" s="11" t="s">
        <v>1026</v>
      </c>
      <c r="C34" s="10">
        <v>6.0516605166051658</v>
      </c>
      <c r="AH34" s="11" t="s">
        <v>398</v>
      </c>
      <c r="AI34" s="10">
        <v>164000</v>
      </c>
    </row>
    <row r="35" spans="2:35" x14ac:dyDescent="0.3">
      <c r="G35" s="9" t="s">
        <v>1025</v>
      </c>
      <c r="AH35" s="11" t="s">
        <v>468</v>
      </c>
      <c r="AI35" s="10">
        <v>160000</v>
      </c>
    </row>
    <row r="36" spans="2:35" x14ac:dyDescent="0.3">
      <c r="G36" s="11" t="s">
        <v>49</v>
      </c>
      <c r="AH36" s="11" t="s">
        <v>529</v>
      </c>
      <c r="AI36" s="10">
        <v>159000</v>
      </c>
    </row>
    <row r="37" spans="2:35" x14ac:dyDescent="0.3">
      <c r="G37" s="18" t="s">
        <v>45</v>
      </c>
      <c r="AH37" s="11" t="s">
        <v>488</v>
      </c>
      <c r="AI37" s="10">
        <v>156000</v>
      </c>
    </row>
    <row r="38" spans="2:35" x14ac:dyDescent="0.3">
      <c r="G38" s="18" t="s">
        <v>25</v>
      </c>
      <c r="AH38" s="11" t="s">
        <v>582</v>
      </c>
      <c r="AI38" s="10">
        <v>156000</v>
      </c>
    </row>
    <row r="39" spans="2:35" x14ac:dyDescent="0.3">
      <c r="G39" s="18" t="s">
        <v>60</v>
      </c>
      <c r="AH39" s="11" t="s">
        <v>197</v>
      </c>
      <c r="AI39" s="10">
        <v>155000</v>
      </c>
    </row>
    <row r="40" spans="2:35" x14ac:dyDescent="0.3">
      <c r="G40" s="18" t="s">
        <v>17</v>
      </c>
      <c r="AH40" s="11" t="s">
        <v>15</v>
      </c>
      <c r="AI40" s="10">
        <v>154000</v>
      </c>
    </row>
    <row r="41" spans="2:35" x14ac:dyDescent="0.3">
      <c r="G41" s="18" t="s">
        <v>55</v>
      </c>
      <c r="AH41" s="11" t="s">
        <v>251</v>
      </c>
      <c r="AI41" s="10">
        <v>148000</v>
      </c>
    </row>
    <row r="42" spans="2:35" x14ac:dyDescent="0.3">
      <c r="G42" s="18" t="s">
        <v>39</v>
      </c>
      <c r="AH42" s="11" t="s">
        <v>820</v>
      </c>
      <c r="AI42" s="10">
        <v>147000</v>
      </c>
    </row>
    <row r="43" spans="2:35" x14ac:dyDescent="0.3">
      <c r="G43" s="18" t="s">
        <v>73</v>
      </c>
      <c r="AH43" s="11" t="s">
        <v>294</v>
      </c>
      <c r="AI43" s="10">
        <v>146000</v>
      </c>
    </row>
    <row r="44" spans="2:35" x14ac:dyDescent="0.3">
      <c r="E44" s="9" t="s">
        <v>1025</v>
      </c>
      <c r="F44" s="13" t="s">
        <v>1031</v>
      </c>
      <c r="G44" s="18" t="s">
        <v>50</v>
      </c>
      <c r="AH44" s="11" t="s">
        <v>409</v>
      </c>
      <c r="AI44" s="10">
        <v>144000</v>
      </c>
    </row>
    <row r="45" spans="2:35" x14ac:dyDescent="0.3">
      <c r="E45" s="11" t="s">
        <v>19</v>
      </c>
      <c r="F45" s="13">
        <v>150</v>
      </c>
      <c r="G45" s="11" t="s">
        <v>66</v>
      </c>
      <c r="AH45" s="11" t="s">
        <v>922</v>
      </c>
      <c r="AI45" s="10">
        <v>143000</v>
      </c>
    </row>
    <row r="46" spans="2:35" x14ac:dyDescent="0.3">
      <c r="E46" s="11" t="s">
        <v>26</v>
      </c>
      <c r="F46" s="13">
        <v>56</v>
      </c>
      <c r="G46" s="18" t="s">
        <v>45</v>
      </c>
      <c r="AH46" s="11" t="s">
        <v>945</v>
      </c>
      <c r="AI46" s="10">
        <v>143000</v>
      </c>
    </row>
    <row r="47" spans="2:35" x14ac:dyDescent="0.3">
      <c r="E47" s="11" t="s">
        <v>32</v>
      </c>
      <c r="F47" s="13">
        <v>127</v>
      </c>
      <c r="G47" s="18" t="s">
        <v>25</v>
      </c>
      <c r="AH47" s="11" t="s">
        <v>549</v>
      </c>
      <c r="AI47" s="10">
        <v>142000</v>
      </c>
    </row>
    <row r="48" spans="2:35" x14ac:dyDescent="0.3">
      <c r="E48" s="11" t="s">
        <v>36</v>
      </c>
      <c r="F48" s="13">
        <v>193</v>
      </c>
      <c r="G48" s="18" t="s">
        <v>60</v>
      </c>
      <c r="AH48" s="11" t="s">
        <v>173</v>
      </c>
      <c r="AI48" s="10">
        <v>142000</v>
      </c>
    </row>
    <row r="49" spans="2:35" x14ac:dyDescent="0.3">
      <c r="E49" s="11" t="s">
        <v>161</v>
      </c>
      <c r="F49" s="13">
        <v>16</v>
      </c>
      <c r="G49" s="18" t="s">
        <v>17</v>
      </c>
      <c r="AH49" s="11" t="s">
        <v>393</v>
      </c>
      <c r="AI49" s="10">
        <v>141000</v>
      </c>
    </row>
    <row r="50" spans="2:35" x14ac:dyDescent="0.3">
      <c r="E50" s="11" t="s">
        <v>1026</v>
      </c>
      <c r="F50" s="10">
        <v>542</v>
      </c>
      <c r="G50" s="18" t="s">
        <v>55</v>
      </c>
      <c r="AH50" s="11" t="s">
        <v>222</v>
      </c>
      <c r="AI50" s="10">
        <v>141000</v>
      </c>
    </row>
    <row r="51" spans="2:35" x14ac:dyDescent="0.3">
      <c r="G51" s="18" t="s">
        <v>39</v>
      </c>
      <c r="AH51" s="11" t="s">
        <v>416</v>
      </c>
      <c r="AI51" s="10">
        <v>140000</v>
      </c>
    </row>
    <row r="52" spans="2:35" x14ac:dyDescent="0.3">
      <c r="G52" s="18" t="s">
        <v>73</v>
      </c>
      <c r="AH52" s="11" t="s">
        <v>208</v>
      </c>
      <c r="AI52" s="10">
        <v>138000</v>
      </c>
    </row>
    <row r="53" spans="2:35" x14ac:dyDescent="0.3">
      <c r="G53" s="18" t="s">
        <v>50</v>
      </c>
      <c r="O53" s="13" t="s">
        <v>1033</v>
      </c>
      <c r="AH53" s="11" t="s">
        <v>664</v>
      </c>
      <c r="AI53" s="10">
        <v>137000</v>
      </c>
    </row>
    <row r="54" spans="2:35" x14ac:dyDescent="0.3">
      <c r="B54" s="9" t="s">
        <v>1025</v>
      </c>
      <c r="C54" s="13" t="s">
        <v>1031</v>
      </c>
      <c r="G54" s="11" t="s">
        <v>90</v>
      </c>
      <c r="O54" s="13">
        <v>542</v>
      </c>
      <c r="P54">
        <f>GETPIVOTDATA("Employee Name",$O$53)</f>
        <v>542</v>
      </c>
      <c r="AH54" s="11" t="s">
        <v>597</v>
      </c>
      <c r="AI54" s="10">
        <v>136000</v>
      </c>
    </row>
    <row r="55" spans="2:35" x14ac:dyDescent="0.3">
      <c r="B55" s="11" t="s">
        <v>19</v>
      </c>
      <c r="C55" s="13">
        <v>150</v>
      </c>
      <c r="G55" s="18" t="s">
        <v>45</v>
      </c>
      <c r="AH55" s="11" t="s">
        <v>444</v>
      </c>
      <c r="AI55" s="10">
        <v>135000</v>
      </c>
    </row>
    <row r="56" spans="2:35" x14ac:dyDescent="0.3">
      <c r="B56" s="11" t="s">
        <v>26</v>
      </c>
      <c r="C56" s="13">
        <v>56</v>
      </c>
      <c r="G56" s="18" t="s">
        <v>25</v>
      </c>
      <c r="AH56" s="11" t="s">
        <v>938</v>
      </c>
      <c r="AI56" s="10">
        <v>133000</v>
      </c>
    </row>
    <row r="57" spans="2:35" x14ac:dyDescent="0.3">
      <c r="B57" s="11" t="s">
        <v>32</v>
      </c>
      <c r="C57" s="13">
        <v>127</v>
      </c>
      <c r="G57" s="18" t="s">
        <v>60</v>
      </c>
      <c r="AH57" s="11" t="s">
        <v>34</v>
      </c>
      <c r="AI57" s="10">
        <v>133000</v>
      </c>
    </row>
    <row r="58" spans="2:35" x14ac:dyDescent="0.3">
      <c r="B58" s="11" t="s">
        <v>36</v>
      </c>
      <c r="C58" s="13">
        <v>193</v>
      </c>
      <c r="G58" s="18" t="s">
        <v>17</v>
      </c>
      <c r="AH58" s="11" t="s">
        <v>216</v>
      </c>
      <c r="AI58" s="10">
        <v>132000</v>
      </c>
    </row>
    <row r="59" spans="2:35" x14ac:dyDescent="0.3">
      <c r="B59" s="11" t="s">
        <v>161</v>
      </c>
      <c r="C59" s="13">
        <v>16</v>
      </c>
      <c r="G59" s="18" t="s">
        <v>55</v>
      </c>
      <c r="R59" s="10" t="s">
        <v>1029</v>
      </c>
      <c r="AH59" s="11" t="s">
        <v>900</v>
      </c>
      <c r="AI59" s="10">
        <v>132000</v>
      </c>
    </row>
    <row r="60" spans="2:35" x14ac:dyDescent="0.3">
      <c r="B60" s="11" t="s">
        <v>1026</v>
      </c>
      <c r="C60" s="10">
        <v>542</v>
      </c>
      <c r="G60" s="18" t="s">
        <v>39</v>
      </c>
      <c r="R60" s="10">
        <v>6.0516605166051658</v>
      </c>
      <c r="S60" s="10">
        <f>GETPIVOTDATA("Leave Taken",$R$59)</f>
        <v>6.0516605166051658</v>
      </c>
      <c r="AH60" s="11" t="s">
        <v>104</v>
      </c>
      <c r="AI60" s="10">
        <v>131000</v>
      </c>
    </row>
    <row r="61" spans="2:35" x14ac:dyDescent="0.3">
      <c r="G61" s="18" t="s">
        <v>73</v>
      </c>
      <c r="AH61" s="11" t="s">
        <v>188</v>
      </c>
      <c r="AI61" s="10">
        <v>131000</v>
      </c>
    </row>
    <row r="62" spans="2:35" x14ac:dyDescent="0.3">
      <c r="G62" s="18" t="s">
        <v>50</v>
      </c>
      <c r="AH62" s="11" t="s">
        <v>53</v>
      </c>
      <c r="AI62" s="10">
        <v>127000</v>
      </c>
    </row>
    <row r="63" spans="2:35" x14ac:dyDescent="0.3">
      <c r="G63" s="11" t="s">
        <v>30</v>
      </c>
      <c r="AH63" s="11" t="s">
        <v>735</v>
      </c>
      <c r="AI63" s="10">
        <v>127000</v>
      </c>
    </row>
    <row r="64" spans="2:35" x14ac:dyDescent="0.3">
      <c r="G64" s="18" t="s">
        <v>45</v>
      </c>
      <c r="AH64" s="11" t="s">
        <v>138</v>
      </c>
      <c r="AI64" s="10">
        <v>125000</v>
      </c>
    </row>
    <row r="65" spans="7:35" x14ac:dyDescent="0.3">
      <c r="G65" s="18" t="s">
        <v>25</v>
      </c>
      <c r="AH65" s="11" t="s">
        <v>117</v>
      </c>
      <c r="AI65" s="10">
        <v>124000</v>
      </c>
    </row>
    <row r="66" spans="7:35" x14ac:dyDescent="0.3">
      <c r="G66" s="18" t="s">
        <v>60</v>
      </c>
      <c r="O66" s="13" t="s">
        <v>1034</v>
      </c>
      <c r="AH66" s="11" t="s">
        <v>893</v>
      </c>
      <c r="AI66" s="10">
        <v>123000</v>
      </c>
    </row>
    <row r="67" spans="7:35" x14ac:dyDescent="0.3">
      <c r="G67" s="18" t="s">
        <v>17</v>
      </c>
      <c r="O67" s="8">
        <v>54252.767527675278</v>
      </c>
      <c r="P67" s="17">
        <f>GETPIVOTDATA("Salary (₹)",$O$66)</f>
        <v>54252.767527675278</v>
      </c>
      <c r="AH67" s="11" t="s">
        <v>288</v>
      </c>
      <c r="AI67" s="10">
        <v>123000</v>
      </c>
    </row>
    <row r="68" spans="7:35" x14ac:dyDescent="0.3">
      <c r="G68" s="18" t="s">
        <v>55</v>
      </c>
      <c r="AH68" s="11" t="s">
        <v>142</v>
      </c>
      <c r="AI68" s="10">
        <v>122000</v>
      </c>
    </row>
    <row r="69" spans="7:35" x14ac:dyDescent="0.3">
      <c r="G69" s="18" t="s">
        <v>39</v>
      </c>
      <c r="AH69" s="11" t="s">
        <v>580</v>
      </c>
      <c r="AI69" s="10">
        <v>122000</v>
      </c>
    </row>
    <row r="70" spans="7:35" x14ac:dyDescent="0.3">
      <c r="G70" s="18" t="s">
        <v>73</v>
      </c>
      <c r="AH70" s="11" t="s">
        <v>666</v>
      </c>
      <c r="AI70" s="10">
        <v>122000</v>
      </c>
    </row>
    <row r="71" spans="7:35" x14ac:dyDescent="0.3">
      <c r="G71" s="18" t="s">
        <v>50</v>
      </c>
      <c r="AH71" s="11" t="s">
        <v>199</v>
      </c>
      <c r="AI71" s="10">
        <v>122000</v>
      </c>
    </row>
    <row r="72" spans="7:35" x14ac:dyDescent="0.3">
      <c r="G72" s="11" t="s">
        <v>101</v>
      </c>
      <c r="AH72" s="11" t="s">
        <v>523</v>
      </c>
      <c r="AI72" s="10">
        <v>122000</v>
      </c>
    </row>
    <row r="73" spans="7:35" x14ac:dyDescent="0.3">
      <c r="G73" s="18" t="s">
        <v>45</v>
      </c>
      <c r="T73" s="9" t="s">
        <v>1025</v>
      </c>
      <c r="AH73" s="11" t="s">
        <v>355</v>
      </c>
      <c r="AI73" s="10">
        <v>121000</v>
      </c>
    </row>
    <row r="74" spans="7:35" x14ac:dyDescent="0.3">
      <c r="G74" s="18" t="s">
        <v>25</v>
      </c>
      <c r="T74" s="11" t="s">
        <v>21</v>
      </c>
      <c r="AH74" s="11" t="s">
        <v>112</v>
      </c>
      <c r="AI74" s="10">
        <v>120000</v>
      </c>
    </row>
    <row r="75" spans="7:35" x14ac:dyDescent="0.3">
      <c r="G75" s="18" t="s">
        <v>60</v>
      </c>
      <c r="T75" s="11" t="s">
        <v>27</v>
      </c>
      <c r="AH75" s="11" t="s">
        <v>210</v>
      </c>
      <c r="AI75" s="10">
        <v>120000</v>
      </c>
    </row>
    <row r="76" spans="7:35" x14ac:dyDescent="0.3">
      <c r="G76" s="18" t="s">
        <v>17</v>
      </c>
      <c r="T76" s="11" t="s">
        <v>1026</v>
      </c>
      <c r="AH76" s="11" t="s">
        <v>180</v>
      </c>
      <c r="AI76" s="10">
        <v>119000</v>
      </c>
    </row>
    <row r="77" spans="7:35" x14ac:dyDescent="0.3">
      <c r="G77" s="18" t="s">
        <v>55</v>
      </c>
      <c r="AH77" s="11" t="s">
        <v>97</v>
      </c>
      <c r="AI77" s="10">
        <v>116000</v>
      </c>
    </row>
    <row r="78" spans="7:35" x14ac:dyDescent="0.3">
      <c r="G78" s="18" t="s">
        <v>39</v>
      </c>
      <c r="R78" s="9" t="s">
        <v>1025</v>
      </c>
      <c r="AH78" s="11" t="s">
        <v>378</v>
      </c>
      <c r="AI78" s="10">
        <v>116000</v>
      </c>
    </row>
    <row r="79" spans="7:35" x14ac:dyDescent="0.3">
      <c r="G79" s="18" t="s">
        <v>73</v>
      </c>
      <c r="R79" s="11" t="s">
        <v>806</v>
      </c>
      <c r="AH79" s="11" t="s">
        <v>745</v>
      </c>
      <c r="AI79" s="10">
        <v>115000</v>
      </c>
    </row>
    <row r="80" spans="7:35" x14ac:dyDescent="0.3">
      <c r="G80" s="18" t="s">
        <v>50</v>
      </c>
      <c r="R80" s="11" t="s">
        <v>885</v>
      </c>
      <c r="AH80" s="11" t="s">
        <v>95</v>
      </c>
      <c r="AI80" s="10">
        <v>115000</v>
      </c>
    </row>
    <row r="81" spans="7:35" x14ac:dyDescent="0.3">
      <c r="G81" s="11" t="s">
        <v>16</v>
      </c>
      <c r="R81" s="11" t="s">
        <v>959</v>
      </c>
      <c r="AH81" s="11" t="s">
        <v>795</v>
      </c>
      <c r="AI81" s="10">
        <v>113000</v>
      </c>
    </row>
    <row r="82" spans="7:35" x14ac:dyDescent="0.3">
      <c r="G82" s="18" t="s">
        <v>45</v>
      </c>
      <c r="R82" s="11" t="s">
        <v>20</v>
      </c>
      <c r="AH82" s="11" t="s">
        <v>130</v>
      </c>
      <c r="AI82" s="10">
        <v>112000</v>
      </c>
    </row>
    <row r="83" spans="7:35" x14ac:dyDescent="0.3">
      <c r="G83" s="18" t="s">
        <v>25</v>
      </c>
      <c r="R83" s="11" t="s">
        <v>148</v>
      </c>
      <c r="AH83" s="11" t="s">
        <v>628</v>
      </c>
      <c r="AI83" s="10">
        <v>111000</v>
      </c>
    </row>
    <row r="84" spans="7:35" x14ac:dyDescent="0.3">
      <c r="G84" s="18" t="s">
        <v>60</v>
      </c>
      <c r="R84" s="11" t="s">
        <v>244</v>
      </c>
      <c r="AH84" s="11" t="s">
        <v>272</v>
      </c>
      <c r="AI84" s="10">
        <v>110000</v>
      </c>
    </row>
    <row r="85" spans="7:35" x14ac:dyDescent="0.3">
      <c r="G85" s="18" t="s">
        <v>17</v>
      </c>
      <c r="R85" s="11" t="s">
        <v>334</v>
      </c>
      <c r="AH85" s="11" t="s">
        <v>368</v>
      </c>
      <c r="AI85" s="10">
        <v>110000</v>
      </c>
    </row>
    <row r="86" spans="7:35" x14ac:dyDescent="0.3">
      <c r="G86" s="18" t="s">
        <v>55</v>
      </c>
      <c r="R86" s="11" t="s">
        <v>412</v>
      </c>
      <c r="AH86" s="11" t="s">
        <v>471</v>
      </c>
      <c r="AI86" s="10">
        <v>110000</v>
      </c>
    </row>
    <row r="87" spans="7:35" x14ac:dyDescent="0.3">
      <c r="G87" s="18" t="s">
        <v>39</v>
      </c>
      <c r="R87" s="11" t="s">
        <v>493</v>
      </c>
      <c r="AH87" s="11" t="s">
        <v>498</v>
      </c>
      <c r="AI87" s="10">
        <v>110000</v>
      </c>
    </row>
    <row r="88" spans="7:35" x14ac:dyDescent="0.3">
      <c r="G88" s="18" t="s">
        <v>73</v>
      </c>
      <c r="R88" s="11" t="s">
        <v>585</v>
      </c>
      <c r="AH88" s="11" t="s">
        <v>327</v>
      </c>
      <c r="AI88" s="10">
        <v>110000</v>
      </c>
    </row>
    <row r="89" spans="7:35" x14ac:dyDescent="0.3">
      <c r="G89" s="18" t="s">
        <v>50</v>
      </c>
      <c r="R89" s="11" t="s">
        <v>668</v>
      </c>
      <c r="AH89" s="11" t="s">
        <v>609</v>
      </c>
      <c r="AI89" s="10">
        <v>108000</v>
      </c>
    </row>
    <row r="90" spans="7:35" x14ac:dyDescent="0.3">
      <c r="G90" s="11" t="s">
        <v>54</v>
      </c>
      <c r="R90" s="11" t="s">
        <v>739</v>
      </c>
      <c r="AH90" s="11" t="s">
        <v>691</v>
      </c>
      <c r="AI90" s="10">
        <v>108000</v>
      </c>
    </row>
    <row r="91" spans="7:35" x14ac:dyDescent="0.3">
      <c r="G91" s="18" t="s">
        <v>45</v>
      </c>
      <c r="R91" s="11" t="s">
        <v>1026</v>
      </c>
      <c r="AH91" s="11" t="s">
        <v>838</v>
      </c>
      <c r="AI91" s="10">
        <v>108000</v>
      </c>
    </row>
    <row r="92" spans="7:35" x14ac:dyDescent="0.3">
      <c r="G92" s="18" t="s">
        <v>25</v>
      </c>
      <c r="AH92" s="11" t="s">
        <v>246</v>
      </c>
      <c r="AI92" s="10">
        <v>106000</v>
      </c>
    </row>
    <row r="93" spans="7:35" x14ac:dyDescent="0.3">
      <c r="G93" s="18" t="s">
        <v>60</v>
      </c>
      <c r="AH93" s="11" t="s">
        <v>840</v>
      </c>
      <c r="AI93" s="10">
        <v>106000</v>
      </c>
    </row>
    <row r="94" spans="7:35" x14ac:dyDescent="0.3">
      <c r="G94" s="18" t="s">
        <v>17</v>
      </c>
      <c r="AH94" s="11" t="s">
        <v>507</v>
      </c>
      <c r="AI94" s="10">
        <v>105000</v>
      </c>
    </row>
    <row r="95" spans="7:35" x14ac:dyDescent="0.3">
      <c r="G95" s="18" t="s">
        <v>55</v>
      </c>
      <c r="AH95" s="11" t="s">
        <v>600</v>
      </c>
      <c r="AI95" s="10">
        <v>105000</v>
      </c>
    </row>
    <row r="96" spans="7:35" x14ac:dyDescent="0.3">
      <c r="G96" s="18" t="s">
        <v>39</v>
      </c>
      <c r="AH96" s="11" t="s">
        <v>243</v>
      </c>
      <c r="AI96" s="10">
        <v>104000</v>
      </c>
    </row>
    <row r="97" spans="7:35" x14ac:dyDescent="0.3">
      <c r="G97" s="18" t="s">
        <v>73</v>
      </c>
      <c r="AH97" s="11" t="s">
        <v>1018</v>
      </c>
      <c r="AI97" s="10">
        <v>104000</v>
      </c>
    </row>
    <row r="98" spans="7:35" x14ac:dyDescent="0.3">
      <c r="G98" s="18" t="s">
        <v>50</v>
      </c>
      <c r="AH98" s="11" t="s">
        <v>547</v>
      </c>
      <c r="AI98" s="10">
        <v>104000</v>
      </c>
    </row>
    <row r="99" spans="7:35" x14ac:dyDescent="0.3">
      <c r="G99" s="11" t="s">
        <v>59</v>
      </c>
      <c r="AH99" s="11" t="s">
        <v>503</v>
      </c>
      <c r="AI99" s="10">
        <v>104000</v>
      </c>
    </row>
    <row r="100" spans="7:35" x14ac:dyDescent="0.3">
      <c r="G100" s="18" t="s">
        <v>45</v>
      </c>
      <c r="AH100" s="11" t="s">
        <v>29</v>
      </c>
      <c r="AI100" s="10">
        <v>102000</v>
      </c>
    </row>
    <row r="101" spans="7:35" x14ac:dyDescent="0.3">
      <c r="G101" s="18" t="s">
        <v>25</v>
      </c>
      <c r="AH101" s="11" t="s">
        <v>235</v>
      </c>
      <c r="AI101" s="10">
        <v>102000</v>
      </c>
    </row>
    <row r="102" spans="7:35" x14ac:dyDescent="0.3">
      <c r="G102" s="18" t="s">
        <v>60</v>
      </c>
      <c r="AH102" s="11" t="s">
        <v>551</v>
      </c>
      <c r="AI102" s="10">
        <v>101000</v>
      </c>
    </row>
    <row r="103" spans="7:35" x14ac:dyDescent="0.3">
      <c r="G103" s="18" t="s">
        <v>17</v>
      </c>
      <c r="AH103" s="11" t="s">
        <v>861</v>
      </c>
      <c r="AI103" s="10">
        <v>101000</v>
      </c>
    </row>
    <row r="104" spans="7:35" x14ac:dyDescent="0.3">
      <c r="G104" s="18" t="s">
        <v>55</v>
      </c>
      <c r="AH104" s="11" t="s">
        <v>505</v>
      </c>
      <c r="AI104" s="10">
        <v>100000</v>
      </c>
    </row>
    <row r="105" spans="7:35" x14ac:dyDescent="0.3">
      <c r="G105" s="18" t="s">
        <v>39</v>
      </c>
      <c r="AH105" s="11" t="s">
        <v>851</v>
      </c>
      <c r="AI105" s="10">
        <v>100000</v>
      </c>
    </row>
    <row r="106" spans="7:35" x14ac:dyDescent="0.3">
      <c r="G106" s="18" t="s">
        <v>73</v>
      </c>
      <c r="AH106" s="11" t="s">
        <v>376</v>
      </c>
      <c r="AI106" s="10">
        <v>100000</v>
      </c>
    </row>
    <row r="107" spans="7:35" x14ac:dyDescent="0.3">
      <c r="G107" s="18" t="s">
        <v>50</v>
      </c>
      <c r="AH107" s="11" t="s">
        <v>296</v>
      </c>
      <c r="AI107" s="10">
        <v>99000</v>
      </c>
    </row>
    <row r="108" spans="7:35" x14ac:dyDescent="0.3">
      <c r="G108" s="11" t="s">
        <v>1026</v>
      </c>
      <c r="AH108" s="11" t="s">
        <v>568</v>
      </c>
      <c r="AI108" s="10">
        <v>99000</v>
      </c>
    </row>
    <row r="109" spans="7:35" x14ac:dyDescent="0.3">
      <c r="AH109" s="11" t="s">
        <v>204</v>
      </c>
      <c r="AI109" s="10">
        <v>99000</v>
      </c>
    </row>
    <row r="110" spans="7:35" x14ac:dyDescent="0.3">
      <c r="AH110" s="11" t="s">
        <v>120</v>
      </c>
      <c r="AI110" s="10">
        <v>98000</v>
      </c>
    </row>
    <row r="111" spans="7:35" x14ac:dyDescent="0.3">
      <c r="AH111" s="11" t="s">
        <v>630</v>
      </c>
      <c r="AI111" s="10">
        <v>98000</v>
      </c>
    </row>
    <row r="112" spans="7:35" x14ac:dyDescent="0.3">
      <c r="AH112" s="11" t="s">
        <v>182</v>
      </c>
      <c r="AI112" s="10">
        <v>97000</v>
      </c>
    </row>
    <row r="113" spans="34:35" x14ac:dyDescent="0.3">
      <c r="AH113" s="11" t="s">
        <v>265</v>
      </c>
      <c r="AI113" s="10">
        <v>97000</v>
      </c>
    </row>
    <row r="114" spans="34:35" x14ac:dyDescent="0.3">
      <c r="AH114" s="11" t="s">
        <v>717</v>
      </c>
      <c r="AI114" s="10">
        <v>97000</v>
      </c>
    </row>
    <row r="115" spans="34:35" x14ac:dyDescent="0.3">
      <c r="AH115" s="11" t="s">
        <v>123</v>
      </c>
      <c r="AI115" s="10">
        <v>96000</v>
      </c>
    </row>
    <row r="116" spans="34:35" x14ac:dyDescent="0.3">
      <c r="AH116" s="11" t="s">
        <v>110</v>
      </c>
      <c r="AI116" s="10">
        <v>96000</v>
      </c>
    </row>
    <row r="117" spans="34:35" x14ac:dyDescent="0.3">
      <c r="AH117" s="11" t="s">
        <v>317</v>
      </c>
      <c r="AI117" s="10">
        <v>95000</v>
      </c>
    </row>
    <row r="118" spans="34:35" x14ac:dyDescent="0.3">
      <c r="AH118" s="11" t="s">
        <v>836</v>
      </c>
      <c r="AI118" s="10">
        <v>95000</v>
      </c>
    </row>
    <row r="119" spans="34:35" x14ac:dyDescent="0.3">
      <c r="AH119" s="11" t="s">
        <v>813</v>
      </c>
      <c r="AI119" s="10">
        <v>95000</v>
      </c>
    </row>
    <row r="120" spans="34:35" x14ac:dyDescent="0.3">
      <c r="AH120" s="11" t="s">
        <v>1021</v>
      </c>
      <c r="AI120" s="10">
        <v>94000</v>
      </c>
    </row>
    <row r="121" spans="34:35" x14ac:dyDescent="0.3">
      <c r="AH121" s="11" t="s">
        <v>826</v>
      </c>
      <c r="AI121" s="10">
        <v>94000</v>
      </c>
    </row>
    <row r="122" spans="34:35" x14ac:dyDescent="0.3">
      <c r="AH122" s="11" t="s">
        <v>418</v>
      </c>
      <c r="AI122" s="10">
        <v>94000</v>
      </c>
    </row>
    <row r="123" spans="34:35" x14ac:dyDescent="0.3">
      <c r="AH123" s="11" t="s">
        <v>719</v>
      </c>
      <c r="AI123" s="10">
        <v>94000</v>
      </c>
    </row>
    <row r="124" spans="34:35" x14ac:dyDescent="0.3">
      <c r="AH124" s="11" t="s">
        <v>949</v>
      </c>
      <c r="AI124" s="10">
        <v>93000</v>
      </c>
    </row>
    <row r="125" spans="34:35" x14ac:dyDescent="0.3">
      <c r="AH125" s="11" t="s">
        <v>593</v>
      </c>
      <c r="AI125" s="10">
        <v>93000</v>
      </c>
    </row>
    <row r="126" spans="34:35" x14ac:dyDescent="0.3">
      <c r="AH126" s="11" t="s">
        <v>268</v>
      </c>
      <c r="AI126" s="10">
        <v>93000</v>
      </c>
    </row>
    <row r="127" spans="34:35" x14ac:dyDescent="0.3">
      <c r="AH127" s="11" t="s">
        <v>402</v>
      </c>
      <c r="AI127" s="10">
        <v>93000</v>
      </c>
    </row>
    <row r="128" spans="34:35" x14ac:dyDescent="0.3">
      <c r="AH128" s="11" t="s">
        <v>370</v>
      </c>
      <c r="AI128" s="10">
        <v>92000</v>
      </c>
    </row>
    <row r="129" spans="34:35" x14ac:dyDescent="0.3">
      <c r="AH129" s="11" t="s">
        <v>79</v>
      </c>
      <c r="AI129" s="10">
        <v>92000</v>
      </c>
    </row>
    <row r="130" spans="34:35" x14ac:dyDescent="0.3">
      <c r="AH130" s="11" t="s">
        <v>292</v>
      </c>
      <c r="AI130" s="10">
        <v>92000</v>
      </c>
    </row>
    <row r="131" spans="34:35" x14ac:dyDescent="0.3">
      <c r="AH131" s="11" t="s">
        <v>799</v>
      </c>
      <c r="AI131" s="10">
        <v>91000</v>
      </c>
    </row>
    <row r="132" spans="34:35" x14ac:dyDescent="0.3">
      <c r="AH132" s="11" t="s">
        <v>461</v>
      </c>
      <c r="AI132" s="10">
        <v>91000</v>
      </c>
    </row>
    <row r="133" spans="34:35" x14ac:dyDescent="0.3">
      <c r="AH133" s="11" t="s">
        <v>674</v>
      </c>
      <c r="AI133" s="10">
        <v>90000</v>
      </c>
    </row>
    <row r="134" spans="34:35" x14ac:dyDescent="0.3">
      <c r="AH134" s="11" t="s">
        <v>311</v>
      </c>
      <c r="AI134" s="10">
        <v>90000</v>
      </c>
    </row>
    <row r="135" spans="34:35" x14ac:dyDescent="0.3">
      <c r="AH135" s="11" t="s">
        <v>157</v>
      </c>
      <c r="AI135" s="10">
        <v>90000</v>
      </c>
    </row>
    <row r="136" spans="34:35" x14ac:dyDescent="0.3">
      <c r="AH136" s="11" t="s">
        <v>726</v>
      </c>
      <c r="AI136" s="10">
        <v>90000</v>
      </c>
    </row>
    <row r="137" spans="34:35" x14ac:dyDescent="0.3">
      <c r="AH137" s="11" t="s">
        <v>163</v>
      </c>
      <c r="AI137" s="10">
        <v>89000</v>
      </c>
    </row>
    <row r="138" spans="34:35" x14ac:dyDescent="0.3">
      <c r="AH138" s="11" t="s">
        <v>847</v>
      </c>
      <c r="AI138" s="10">
        <v>88000</v>
      </c>
    </row>
    <row r="139" spans="34:35" x14ac:dyDescent="0.3">
      <c r="AH139" s="11" t="s">
        <v>466</v>
      </c>
      <c r="AI139" s="10">
        <v>88000</v>
      </c>
    </row>
    <row r="140" spans="34:35" x14ac:dyDescent="0.3">
      <c r="AH140" s="11" t="s">
        <v>434</v>
      </c>
      <c r="AI140" s="10">
        <v>87000</v>
      </c>
    </row>
    <row r="141" spans="34:35" x14ac:dyDescent="0.3">
      <c r="AH141" s="11" t="s">
        <v>125</v>
      </c>
      <c r="AI141" s="10">
        <v>86000</v>
      </c>
    </row>
    <row r="142" spans="34:35" x14ac:dyDescent="0.3">
      <c r="AH142" s="11" t="s">
        <v>721</v>
      </c>
      <c r="AI142" s="10">
        <v>86000</v>
      </c>
    </row>
    <row r="143" spans="34:35" x14ac:dyDescent="0.3">
      <c r="AH143" s="11" t="s">
        <v>964</v>
      </c>
      <c r="AI143" s="10">
        <v>86000</v>
      </c>
    </row>
    <row r="144" spans="34:35" x14ac:dyDescent="0.3">
      <c r="AH144" s="11" t="s">
        <v>72</v>
      </c>
      <c r="AI144" s="10">
        <v>85000</v>
      </c>
    </row>
    <row r="145" spans="34:35" x14ac:dyDescent="0.3">
      <c r="AH145" s="11" t="s">
        <v>564</v>
      </c>
      <c r="AI145" s="10">
        <v>85000</v>
      </c>
    </row>
    <row r="146" spans="34:35" x14ac:dyDescent="0.3">
      <c r="AH146" s="11" t="s">
        <v>372</v>
      </c>
      <c r="AI146" s="10">
        <v>83000</v>
      </c>
    </row>
    <row r="147" spans="34:35" x14ac:dyDescent="0.3">
      <c r="AH147" s="11" t="s">
        <v>477</v>
      </c>
      <c r="AI147" s="10">
        <v>82000</v>
      </c>
    </row>
    <row r="148" spans="34:35" x14ac:dyDescent="0.3">
      <c r="AH148" s="11" t="s">
        <v>100</v>
      </c>
      <c r="AI148" s="10">
        <v>82000</v>
      </c>
    </row>
    <row r="149" spans="34:35" x14ac:dyDescent="0.3">
      <c r="AH149" s="11" t="s">
        <v>763</v>
      </c>
      <c r="AI149" s="10">
        <v>81000</v>
      </c>
    </row>
    <row r="150" spans="34:35" x14ac:dyDescent="0.3">
      <c r="AH150" s="11" t="s">
        <v>712</v>
      </c>
      <c r="AI150" s="10">
        <v>81000</v>
      </c>
    </row>
    <row r="151" spans="34:35" x14ac:dyDescent="0.3">
      <c r="AH151" s="11" t="s">
        <v>411</v>
      </c>
      <c r="AI151" s="10">
        <v>80000</v>
      </c>
    </row>
    <row r="152" spans="34:35" x14ac:dyDescent="0.3">
      <c r="AH152" s="11" t="s">
        <v>178</v>
      </c>
      <c r="AI152" s="10">
        <v>79000</v>
      </c>
    </row>
    <row r="153" spans="34:35" x14ac:dyDescent="0.3">
      <c r="AH153" s="11" t="s">
        <v>89</v>
      </c>
      <c r="AI153" s="10">
        <v>78000</v>
      </c>
    </row>
    <row r="154" spans="34:35" x14ac:dyDescent="0.3">
      <c r="AH154" s="11" t="s">
        <v>606</v>
      </c>
      <c r="AI154" s="10">
        <v>78000</v>
      </c>
    </row>
    <row r="155" spans="34:35" x14ac:dyDescent="0.3">
      <c r="AH155" s="11" t="s">
        <v>700</v>
      </c>
      <c r="AI155" s="10">
        <v>78000</v>
      </c>
    </row>
    <row r="156" spans="34:35" x14ac:dyDescent="0.3">
      <c r="AH156" s="11" t="s">
        <v>65</v>
      </c>
      <c r="AI156" s="10">
        <v>78000</v>
      </c>
    </row>
    <row r="157" spans="34:35" x14ac:dyDescent="0.3">
      <c r="AH157" s="11" t="s">
        <v>374</v>
      </c>
      <c r="AI157" s="10">
        <v>77000</v>
      </c>
    </row>
    <row r="158" spans="34:35" x14ac:dyDescent="0.3">
      <c r="AH158" s="11" t="s">
        <v>648</v>
      </c>
      <c r="AI158" s="10">
        <v>77000</v>
      </c>
    </row>
    <row r="159" spans="34:35" x14ac:dyDescent="0.3">
      <c r="AH159" s="11" t="s">
        <v>681</v>
      </c>
      <c r="AI159" s="10">
        <v>77000</v>
      </c>
    </row>
    <row r="160" spans="34:35" x14ac:dyDescent="0.3">
      <c r="AH160" s="11" t="s">
        <v>831</v>
      </c>
      <c r="AI160" s="10">
        <v>76000</v>
      </c>
    </row>
    <row r="161" spans="34:35" x14ac:dyDescent="0.3">
      <c r="AH161" s="11" t="s">
        <v>500</v>
      </c>
      <c r="AI161" s="10">
        <v>75000</v>
      </c>
    </row>
    <row r="162" spans="34:35" x14ac:dyDescent="0.3">
      <c r="AH162" s="11" t="s">
        <v>1009</v>
      </c>
      <c r="AI162" s="10">
        <v>74000</v>
      </c>
    </row>
    <row r="163" spans="34:35" x14ac:dyDescent="0.3">
      <c r="AH163" s="11" t="s">
        <v>914</v>
      </c>
      <c r="AI163" s="10">
        <v>74000</v>
      </c>
    </row>
    <row r="164" spans="34:35" x14ac:dyDescent="0.3">
      <c r="AH164" s="11" t="s">
        <v>226</v>
      </c>
      <c r="AI164" s="10">
        <v>74000</v>
      </c>
    </row>
    <row r="165" spans="34:35" x14ac:dyDescent="0.3">
      <c r="AH165" s="11" t="s">
        <v>258</v>
      </c>
      <c r="AI165" s="10">
        <v>74000</v>
      </c>
    </row>
    <row r="166" spans="34:35" x14ac:dyDescent="0.3">
      <c r="AH166" s="11" t="s">
        <v>924</v>
      </c>
      <c r="AI166" s="10">
        <v>73000</v>
      </c>
    </row>
    <row r="167" spans="34:35" x14ac:dyDescent="0.3">
      <c r="AH167" s="11" t="s">
        <v>184</v>
      </c>
      <c r="AI167" s="10">
        <v>73000</v>
      </c>
    </row>
    <row r="168" spans="34:35" x14ac:dyDescent="0.3">
      <c r="AH168" s="11" t="s">
        <v>152</v>
      </c>
      <c r="AI168" s="10">
        <v>72000</v>
      </c>
    </row>
    <row r="169" spans="34:35" x14ac:dyDescent="0.3">
      <c r="AH169" s="11" t="s">
        <v>738</v>
      </c>
      <c r="AI169" s="10">
        <v>72000</v>
      </c>
    </row>
    <row r="170" spans="34:35" x14ac:dyDescent="0.3">
      <c r="AH170" s="11" t="s">
        <v>863</v>
      </c>
      <c r="AI170" s="10">
        <v>72000</v>
      </c>
    </row>
    <row r="171" spans="34:35" x14ac:dyDescent="0.3">
      <c r="AH171" s="11" t="s">
        <v>298</v>
      </c>
      <c r="AI171" s="10">
        <v>72000</v>
      </c>
    </row>
    <row r="172" spans="34:35" x14ac:dyDescent="0.3">
      <c r="AH172" s="11" t="s">
        <v>41</v>
      </c>
      <c r="AI172" s="10">
        <v>72000</v>
      </c>
    </row>
    <row r="173" spans="34:35" x14ac:dyDescent="0.3">
      <c r="AH173" s="11" t="s">
        <v>588</v>
      </c>
      <c r="AI173" s="10">
        <v>71000</v>
      </c>
    </row>
    <row r="174" spans="34:35" x14ac:dyDescent="0.3">
      <c r="AH174" s="11" t="s">
        <v>115</v>
      </c>
      <c r="AI174" s="10">
        <v>71000</v>
      </c>
    </row>
    <row r="175" spans="34:35" x14ac:dyDescent="0.3">
      <c r="AH175" s="11" t="s">
        <v>84</v>
      </c>
      <c r="AI175" s="10">
        <v>71000</v>
      </c>
    </row>
    <row r="176" spans="34:35" x14ac:dyDescent="0.3">
      <c r="AH176" s="11" t="s">
        <v>486</v>
      </c>
      <c r="AI176" s="10">
        <v>71000</v>
      </c>
    </row>
    <row r="177" spans="34:35" x14ac:dyDescent="0.3">
      <c r="AH177" s="11" t="s">
        <v>993</v>
      </c>
      <c r="AI177" s="10">
        <v>70000</v>
      </c>
    </row>
    <row r="178" spans="34:35" x14ac:dyDescent="0.3">
      <c r="AH178" s="11" t="s">
        <v>424</v>
      </c>
      <c r="AI178" s="10">
        <v>70000</v>
      </c>
    </row>
    <row r="179" spans="34:35" x14ac:dyDescent="0.3">
      <c r="AH179" s="11" t="s">
        <v>270</v>
      </c>
      <c r="AI179" s="10">
        <v>70000</v>
      </c>
    </row>
    <row r="180" spans="34:35" x14ac:dyDescent="0.3">
      <c r="AH180" s="11" t="s">
        <v>791</v>
      </c>
      <c r="AI180" s="10">
        <v>69000</v>
      </c>
    </row>
    <row r="181" spans="34:35" x14ac:dyDescent="0.3">
      <c r="AH181" s="11" t="s">
        <v>957</v>
      </c>
      <c r="AI181" s="10">
        <v>68000</v>
      </c>
    </row>
    <row r="182" spans="34:35" x14ac:dyDescent="0.3">
      <c r="AH182" s="11" t="s">
        <v>891</v>
      </c>
      <c r="AI182" s="10">
        <v>68000</v>
      </c>
    </row>
    <row r="183" spans="34:35" x14ac:dyDescent="0.3">
      <c r="AH183" s="11" t="s">
        <v>514</v>
      </c>
      <c r="AI183" s="10">
        <v>68000</v>
      </c>
    </row>
    <row r="184" spans="34:35" x14ac:dyDescent="0.3">
      <c r="AH184" s="11" t="s">
        <v>743</v>
      </c>
      <c r="AI184" s="10">
        <v>68000</v>
      </c>
    </row>
    <row r="185" spans="34:35" x14ac:dyDescent="0.3">
      <c r="AH185" s="11" t="s">
        <v>724</v>
      </c>
      <c r="AI185" s="10">
        <v>68000</v>
      </c>
    </row>
    <row r="186" spans="34:35" x14ac:dyDescent="0.3">
      <c r="AH186" s="11" t="s">
        <v>996</v>
      </c>
      <c r="AI186" s="10">
        <v>68000</v>
      </c>
    </row>
    <row r="187" spans="34:35" x14ac:dyDescent="0.3">
      <c r="AH187" s="11" t="s">
        <v>570</v>
      </c>
      <c r="AI187" s="10">
        <v>68000</v>
      </c>
    </row>
    <row r="188" spans="34:35" x14ac:dyDescent="0.3">
      <c r="AH188" s="11" t="s">
        <v>980</v>
      </c>
      <c r="AI188" s="10">
        <v>68000</v>
      </c>
    </row>
    <row r="189" spans="34:35" x14ac:dyDescent="0.3">
      <c r="AH189" s="11" t="s">
        <v>353</v>
      </c>
      <c r="AI189" s="10">
        <v>67000</v>
      </c>
    </row>
    <row r="190" spans="34:35" x14ac:dyDescent="0.3">
      <c r="AH190" s="11" t="s">
        <v>702</v>
      </c>
      <c r="AI190" s="10">
        <v>67000</v>
      </c>
    </row>
    <row r="191" spans="34:35" x14ac:dyDescent="0.3">
      <c r="AH191" s="11" t="s">
        <v>336</v>
      </c>
      <c r="AI191" s="10">
        <v>67000</v>
      </c>
    </row>
    <row r="192" spans="34:35" x14ac:dyDescent="0.3">
      <c r="AH192" s="11" t="s">
        <v>818</v>
      </c>
      <c r="AI192" s="10">
        <v>66000</v>
      </c>
    </row>
    <row r="193" spans="34:35" x14ac:dyDescent="0.3">
      <c r="AH193" s="11" t="s">
        <v>637</v>
      </c>
      <c r="AI193" s="10">
        <v>66000</v>
      </c>
    </row>
    <row r="194" spans="34:35" x14ac:dyDescent="0.3">
      <c r="AH194" s="11" t="s">
        <v>176</v>
      </c>
      <c r="AI194" s="10">
        <v>66000</v>
      </c>
    </row>
    <row r="195" spans="34:35" x14ac:dyDescent="0.3">
      <c r="AH195" s="11" t="s">
        <v>313</v>
      </c>
      <c r="AI195" s="10">
        <v>66000</v>
      </c>
    </row>
    <row r="196" spans="34:35" x14ac:dyDescent="0.3">
      <c r="AH196" s="11" t="s">
        <v>407</v>
      </c>
      <c r="AI196" s="10">
        <v>65000</v>
      </c>
    </row>
    <row r="197" spans="34:35" x14ac:dyDescent="0.3">
      <c r="AH197" s="11" t="s">
        <v>459</v>
      </c>
      <c r="AI197" s="10">
        <v>65000</v>
      </c>
    </row>
    <row r="198" spans="34:35" x14ac:dyDescent="0.3">
      <c r="AH198" s="11" t="s">
        <v>952</v>
      </c>
      <c r="AI198" s="10">
        <v>64000</v>
      </c>
    </row>
    <row r="199" spans="34:35" x14ac:dyDescent="0.3">
      <c r="AH199" s="11" t="s">
        <v>777</v>
      </c>
      <c r="AI199" s="10">
        <v>64000</v>
      </c>
    </row>
    <row r="200" spans="34:35" x14ac:dyDescent="0.3">
      <c r="AH200" s="11" t="s">
        <v>853</v>
      </c>
      <c r="AI200" s="10">
        <v>64000</v>
      </c>
    </row>
    <row r="201" spans="34:35" x14ac:dyDescent="0.3">
      <c r="AH201" s="11" t="s">
        <v>661</v>
      </c>
      <c r="AI201" s="10">
        <v>64000</v>
      </c>
    </row>
    <row r="202" spans="34:35" x14ac:dyDescent="0.3">
      <c r="AH202" s="11" t="s">
        <v>171</v>
      </c>
      <c r="AI202" s="10">
        <v>64000</v>
      </c>
    </row>
    <row r="203" spans="34:35" x14ac:dyDescent="0.3">
      <c r="AH203" s="11" t="s">
        <v>729</v>
      </c>
      <c r="AI203" s="10">
        <v>64000</v>
      </c>
    </row>
    <row r="204" spans="34:35" x14ac:dyDescent="0.3">
      <c r="AH204" s="11" t="s">
        <v>955</v>
      </c>
      <c r="AI204" s="10">
        <v>64000</v>
      </c>
    </row>
    <row r="205" spans="34:35" x14ac:dyDescent="0.3">
      <c r="AH205" s="11" t="s">
        <v>576</v>
      </c>
      <c r="AI205" s="10">
        <v>64000</v>
      </c>
    </row>
    <row r="206" spans="34:35" x14ac:dyDescent="0.3">
      <c r="AH206" s="11" t="s">
        <v>622</v>
      </c>
      <c r="AI206" s="10">
        <v>64000</v>
      </c>
    </row>
    <row r="207" spans="34:35" x14ac:dyDescent="0.3">
      <c r="AH207" s="11" t="s">
        <v>591</v>
      </c>
      <c r="AI207" s="10">
        <v>63000</v>
      </c>
    </row>
    <row r="208" spans="34:35" x14ac:dyDescent="0.3">
      <c r="AH208" s="11" t="s">
        <v>276</v>
      </c>
      <c r="AI208" s="10">
        <v>63000</v>
      </c>
    </row>
    <row r="209" spans="34:35" x14ac:dyDescent="0.3">
      <c r="AH209" s="11" t="s">
        <v>689</v>
      </c>
      <c r="AI209" s="10">
        <v>63000</v>
      </c>
    </row>
    <row r="210" spans="34:35" x14ac:dyDescent="0.3">
      <c r="AH210" s="11" t="s">
        <v>134</v>
      </c>
      <c r="AI210" s="10">
        <v>63000</v>
      </c>
    </row>
    <row r="211" spans="34:35" x14ac:dyDescent="0.3">
      <c r="AH211" s="11" t="s">
        <v>756</v>
      </c>
      <c r="AI211" s="10">
        <v>62000</v>
      </c>
    </row>
    <row r="212" spans="34:35" x14ac:dyDescent="0.3">
      <c r="AH212" s="11" t="s">
        <v>146</v>
      </c>
      <c r="AI212" s="10">
        <v>62000</v>
      </c>
    </row>
    <row r="213" spans="34:35" x14ac:dyDescent="0.3">
      <c r="AH213" s="11" t="s">
        <v>446</v>
      </c>
      <c r="AI213" s="10">
        <v>62000</v>
      </c>
    </row>
    <row r="214" spans="34:35" x14ac:dyDescent="0.3">
      <c r="AH214" s="11" t="s">
        <v>430</v>
      </c>
      <c r="AI214" s="10">
        <v>62000</v>
      </c>
    </row>
    <row r="215" spans="34:35" x14ac:dyDescent="0.3">
      <c r="AH215" s="11" t="s">
        <v>998</v>
      </c>
      <c r="AI215" s="10">
        <v>61000</v>
      </c>
    </row>
    <row r="216" spans="34:35" x14ac:dyDescent="0.3">
      <c r="AH216" s="11" t="s">
        <v>966</v>
      </c>
      <c r="AI216" s="10">
        <v>61000</v>
      </c>
    </row>
    <row r="217" spans="34:35" x14ac:dyDescent="0.3">
      <c r="AH217" s="11" t="s">
        <v>887</v>
      </c>
      <c r="AI217" s="10">
        <v>61000</v>
      </c>
    </row>
    <row r="218" spans="34:35" x14ac:dyDescent="0.3">
      <c r="AH218" s="11" t="s">
        <v>655</v>
      </c>
      <c r="AI218" s="10">
        <v>61000</v>
      </c>
    </row>
    <row r="219" spans="34:35" x14ac:dyDescent="0.3">
      <c r="AH219" s="11" t="s">
        <v>910</v>
      </c>
      <c r="AI219" s="10">
        <v>61000</v>
      </c>
    </row>
    <row r="220" spans="34:35" x14ac:dyDescent="0.3">
      <c r="AH220" s="11" t="s">
        <v>38</v>
      </c>
      <c r="AI220" s="10">
        <v>61000</v>
      </c>
    </row>
    <row r="221" spans="34:35" x14ac:dyDescent="0.3">
      <c r="AH221" s="11" t="s">
        <v>639</v>
      </c>
      <c r="AI221" s="10">
        <v>60000</v>
      </c>
    </row>
    <row r="222" spans="34:35" x14ac:dyDescent="0.3">
      <c r="AH222" s="11" t="s">
        <v>136</v>
      </c>
      <c r="AI222" s="10">
        <v>60000</v>
      </c>
    </row>
    <row r="223" spans="34:35" x14ac:dyDescent="0.3">
      <c r="AH223" s="11" t="s">
        <v>989</v>
      </c>
      <c r="AI223" s="10">
        <v>60000</v>
      </c>
    </row>
    <row r="224" spans="34:35" x14ac:dyDescent="0.3">
      <c r="AH224" s="11" t="s">
        <v>195</v>
      </c>
      <c r="AI224" s="10">
        <v>60000</v>
      </c>
    </row>
    <row r="225" spans="34:35" x14ac:dyDescent="0.3">
      <c r="AH225" s="11" t="s">
        <v>641</v>
      </c>
      <c r="AI225" s="10">
        <v>60000</v>
      </c>
    </row>
    <row r="226" spans="34:35" x14ac:dyDescent="0.3">
      <c r="AH226" s="11" t="s">
        <v>438</v>
      </c>
      <c r="AI226" s="10">
        <v>59000</v>
      </c>
    </row>
    <row r="227" spans="34:35" x14ac:dyDescent="0.3">
      <c r="AH227" s="11" t="s">
        <v>230</v>
      </c>
      <c r="AI227" s="10">
        <v>59000</v>
      </c>
    </row>
    <row r="228" spans="34:35" x14ac:dyDescent="0.3">
      <c r="AH228" s="11" t="s">
        <v>480</v>
      </c>
      <c r="AI228" s="10">
        <v>59000</v>
      </c>
    </row>
    <row r="229" spans="34:35" x14ac:dyDescent="0.3">
      <c r="AH229" s="11" t="s">
        <v>422</v>
      </c>
      <c r="AI229" s="10">
        <v>58000</v>
      </c>
    </row>
    <row r="230" spans="34:35" x14ac:dyDescent="0.3">
      <c r="AH230" s="11" t="s">
        <v>239</v>
      </c>
      <c r="AI230" s="10">
        <v>58000</v>
      </c>
    </row>
    <row r="231" spans="34:35" x14ac:dyDescent="0.3">
      <c r="AH231" s="11" t="s">
        <v>510</v>
      </c>
      <c r="AI231" s="10">
        <v>58000</v>
      </c>
    </row>
    <row r="232" spans="34:35" x14ac:dyDescent="0.3">
      <c r="AH232" s="11" t="s">
        <v>253</v>
      </c>
      <c r="AI232" s="10">
        <v>58000</v>
      </c>
    </row>
    <row r="233" spans="34:35" x14ac:dyDescent="0.3">
      <c r="AH233" s="11" t="s">
        <v>670</v>
      </c>
      <c r="AI233" s="10">
        <v>57000</v>
      </c>
    </row>
    <row r="234" spans="34:35" x14ac:dyDescent="0.3">
      <c r="AH234" s="11" t="s">
        <v>876</v>
      </c>
      <c r="AI234" s="10">
        <v>57000</v>
      </c>
    </row>
    <row r="235" spans="34:35" x14ac:dyDescent="0.3">
      <c r="AH235" s="11" t="s">
        <v>929</v>
      </c>
      <c r="AI235" s="10">
        <v>57000</v>
      </c>
    </row>
    <row r="236" spans="34:35" x14ac:dyDescent="0.3">
      <c r="AH236" s="11" t="s">
        <v>214</v>
      </c>
      <c r="AI236" s="10">
        <v>56000</v>
      </c>
    </row>
    <row r="237" spans="34:35" x14ac:dyDescent="0.3">
      <c r="AH237" s="11" t="s">
        <v>475</v>
      </c>
      <c r="AI237" s="10">
        <v>55000</v>
      </c>
    </row>
    <row r="238" spans="34:35" x14ac:dyDescent="0.3">
      <c r="AH238" s="11" t="s">
        <v>932</v>
      </c>
      <c r="AI238" s="10">
        <v>55000</v>
      </c>
    </row>
    <row r="239" spans="34:35" x14ac:dyDescent="0.3">
      <c r="AH239" s="11" t="s">
        <v>849</v>
      </c>
      <c r="AI239" s="10">
        <v>55000</v>
      </c>
    </row>
    <row r="240" spans="34:35" x14ac:dyDescent="0.3">
      <c r="AH240" s="11" t="s">
        <v>698</v>
      </c>
      <c r="AI240" s="10">
        <v>55000</v>
      </c>
    </row>
    <row r="241" spans="34:35" x14ac:dyDescent="0.3">
      <c r="AH241" s="11" t="s">
        <v>710</v>
      </c>
      <c r="AI241" s="10">
        <v>54000</v>
      </c>
    </row>
    <row r="242" spans="34:35" x14ac:dyDescent="0.3">
      <c r="AH242" s="11" t="s">
        <v>206</v>
      </c>
      <c r="AI242" s="10">
        <v>54000</v>
      </c>
    </row>
    <row r="243" spans="34:35" x14ac:dyDescent="0.3">
      <c r="AH243" s="11" t="s">
        <v>926</v>
      </c>
      <c r="AI243" s="10">
        <v>54000</v>
      </c>
    </row>
    <row r="244" spans="34:35" x14ac:dyDescent="0.3">
      <c r="AH244" s="11" t="s">
        <v>805</v>
      </c>
      <c r="AI244" s="10">
        <v>54000</v>
      </c>
    </row>
    <row r="245" spans="34:35" x14ac:dyDescent="0.3">
      <c r="AH245" s="11" t="s">
        <v>218</v>
      </c>
      <c r="AI245" s="10">
        <v>54000</v>
      </c>
    </row>
    <row r="246" spans="34:35" x14ac:dyDescent="0.3">
      <c r="AH246" s="11" t="s">
        <v>912</v>
      </c>
      <c r="AI246" s="10">
        <v>53000</v>
      </c>
    </row>
    <row r="247" spans="34:35" x14ac:dyDescent="0.3">
      <c r="AH247" s="11" t="s">
        <v>555</v>
      </c>
      <c r="AI247" s="10">
        <v>53000</v>
      </c>
    </row>
    <row r="248" spans="34:35" x14ac:dyDescent="0.3">
      <c r="AH248" s="11" t="s">
        <v>732</v>
      </c>
      <c r="AI248" s="10">
        <v>53000</v>
      </c>
    </row>
    <row r="249" spans="34:35" x14ac:dyDescent="0.3">
      <c r="AH249" s="11" t="s">
        <v>878</v>
      </c>
      <c r="AI249" s="10">
        <v>53000</v>
      </c>
    </row>
    <row r="250" spans="34:35" x14ac:dyDescent="0.3">
      <c r="AH250" s="11" t="s">
        <v>519</v>
      </c>
      <c r="AI250" s="10">
        <v>53000</v>
      </c>
    </row>
    <row r="251" spans="34:35" x14ac:dyDescent="0.3">
      <c r="AH251" s="11" t="s">
        <v>584</v>
      </c>
      <c r="AI251" s="10">
        <v>52000</v>
      </c>
    </row>
    <row r="252" spans="34:35" x14ac:dyDescent="0.3">
      <c r="AH252" s="11" t="s">
        <v>525</v>
      </c>
      <c r="AI252" s="10">
        <v>52000</v>
      </c>
    </row>
    <row r="253" spans="34:35" x14ac:dyDescent="0.3">
      <c r="AH253" s="11" t="s">
        <v>693</v>
      </c>
      <c r="AI253" s="10">
        <v>52000</v>
      </c>
    </row>
    <row r="254" spans="34:35" x14ac:dyDescent="0.3">
      <c r="AH254" s="11" t="s">
        <v>904</v>
      </c>
      <c r="AI254" s="10">
        <v>52000</v>
      </c>
    </row>
    <row r="255" spans="34:35" x14ac:dyDescent="0.3">
      <c r="AH255" s="11" t="s">
        <v>942</v>
      </c>
      <c r="AI255" s="10">
        <v>51000</v>
      </c>
    </row>
    <row r="256" spans="34:35" x14ac:dyDescent="0.3">
      <c r="AH256" s="11" t="s">
        <v>432</v>
      </c>
      <c r="AI256" s="10">
        <v>51000</v>
      </c>
    </row>
    <row r="257" spans="34:35" x14ac:dyDescent="0.3">
      <c r="AH257" s="11" t="s">
        <v>388</v>
      </c>
      <c r="AI257" s="10">
        <v>51000</v>
      </c>
    </row>
    <row r="258" spans="34:35" x14ac:dyDescent="0.3">
      <c r="AH258" s="11" t="s">
        <v>678</v>
      </c>
      <c r="AI258" s="10">
        <v>51000</v>
      </c>
    </row>
    <row r="259" spans="34:35" x14ac:dyDescent="0.3">
      <c r="AH259" s="11" t="s">
        <v>561</v>
      </c>
      <c r="AI259" s="10">
        <v>51000</v>
      </c>
    </row>
    <row r="260" spans="34:35" x14ac:dyDescent="0.3">
      <c r="AH260" s="11" t="s">
        <v>652</v>
      </c>
      <c r="AI260" s="10">
        <v>51000</v>
      </c>
    </row>
    <row r="261" spans="34:35" x14ac:dyDescent="0.3">
      <c r="AH261" s="11" t="s">
        <v>616</v>
      </c>
      <c r="AI261" s="10">
        <v>51000</v>
      </c>
    </row>
    <row r="262" spans="34:35" x14ac:dyDescent="0.3">
      <c r="AH262" s="11" t="s">
        <v>140</v>
      </c>
      <c r="AI262" s="10">
        <v>51000</v>
      </c>
    </row>
    <row r="263" spans="34:35" x14ac:dyDescent="0.3">
      <c r="AH263" s="11" t="s">
        <v>454</v>
      </c>
      <c r="AI263" s="10">
        <v>50000</v>
      </c>
    </row>
    <row r="264" spans="34:35" x14ac:dyDescent="0.3">
      <c r="AH264" s="11" t="s">
        <v>155</v>
      </c>
      <c r="AI264" s="10">
        <v>50000</v>
      </c>
    </row>
    <row r="265" spans="34:35" x14ac:dyDescent="0.3">
      <c r="AH265" s="11" t="s">
        <v>557</v>
      </c>
      <c r="AI265" s="10">
        <v>50000</v>
      </c>
    </row>
    <row r="266" spans="34:35" x14ac:dyDescent="0.3">
      <c r="AH266" s="11" t="s">
        <v>261</v>
      </c>
      <c r="AI266" s="10">
        <v>50000</v>
      </c>
    </row>
    <row r="267" spans="34:35" x14ac:dyDescent="0.3">
      <c r="AH267" s="11" t="s">
        <v>1024</v>
      </c>
      <c r="AI267" s="10">
        <v>49000</v>
      </c>
    </row>
    <row r="268" spans="34:35" x14ac:dyDescent="0.3">
      <c r="AH268" s="11" t="s">
        <v>968</v>
      </c>
      <c r="AI268" s="10">
        <v>49000</v>
      </c>
    </row>
    <row r="269" spans="34:35" x14ac:dyDescent="0.3">
      <c r="AH269" s="11" t="s">
        <v>858</v>
      </c>
      <c r="AI269" s="10">
        <v>49000</v>
      </c>
    </row>
    <row r="270" spans="34:35" x14ac:dyDescent="0.3">
      <c r="AH270" s="11" t="s">
        <v>676</v>
      </c>
      <c r="AI270" s="10">
        <v>49000</v>
      </c>
    </row>
    <row r="271" spans="34:35" x14ac:dyDescent="0.3">
      <c r="AH271" s="11" t="s">
        <v>348</v>
      </c>
      <c r="AI271" s="10">
        <v>49000</v>
      </c>
    </row>
    <row r="272" spans="34:35" x14ac:dyDescent="0.3">
      <c r="AH272" s="11" t="s">
        <v>340</v>
      </c>
      <c r="AI272" s="10">
        <v>49000</v>
      </c>
    </row>
    <row r="273" spans="34:35" x14ac:dyDescent="0.3">
      <c r="AH273" s="11" t="s">
        <v>315</v>
      </c>
      <c r="AI273" s="10">
        <v>49000</v>
      </c>
    </row>
    <row r="274" spans="34:35" x14ac:dyDescent="0.3">
      <c r="AH274" s="11" t="s">
        <v>512</v>
      </c>
      <c r="AI274" s="10">
        <v>48000</v>
      </c>
    </row>
    <row r="275" spans="34:35" x14ac:dyDescent="0.3">
      <c r="AH275" s="11" t="s">
        <v>241</v>
      </c>
      <c r="AI275" s="10">
        <v>48000</v>
      </c>
    </row>
    <row r="276" spans="34:35" x14ac:dyDescent="0.3">
      <c r="AH276" s="11" t="s">
        <v>256</v>
      </c>
      <c r="AI276" s="10">
        <v>48000</v>
      </c>
    </row>
    <row r="277" spans="34:35" x14ac:dyDescent="0.3">
      <c r="AH277" s="11" t="s">
        <v>290</v>
      </c>
      <c r="AI277" s="10">
        <v>48000</v>
      </c>
    </row>
    <row r="278" spans="34:35" x14ac:dyDescent="0.3">
      <c r="AH278" s="11" t="s">
        <v>307</v>
      </c>
      <c r="AI278" s="10">
        <v>48000</v>
      </c>
    </row>
    <row r="279" spans="34:35" x14ac:dyDescent="0.3">
      <c r="AH279" s="11" t="s">
        <v>982</v>
      </c>
      <c r="AI279" s="10">
        <v>48000</v>
      </c>
    </row>
    <row r="280" spans="34:35" x14ac:dyDescent="0.3">
      <c r="AH280" s="11" t="s">
        <v>305</v>
      </c>
      <c r="AI280" s="10">
        <v>48000</v>
      </c>
    </row>
    <row r="281" spans="34:35" x14ac:dyDescent="0.3">
      <c r="AH281" s="11" t="s">
        <v>405</v>
      </c>
      <c r="AI281" s="10">
        <v>48000</v>
      </c>
    </row>
    <row r="282" spans="34:35" x14ac:dyDescent="0.3">
      <c r="AH282" s="11" t="s">
        <v>843</v>
      </c>
      <c r="AI282" s="10">
        <v>48000</v>
      </c>
    </row>
    <row r="283" spans="34:35" x14ac:dyDescent="0.3">
      <c r="AH283" s="11" t="s">
        <v>542</v>
      </c>
      <c r="AI283" s="10">
        <v>47000</v>
      </c>
    </row>
    <row r="284" spans="34:35" x14ac:dyDescent="0.3">
      <c r="AH284" s="11" t="s">
        <v>351</v>
      </c>
      <c r="AI284" s="10">
        <v>47000</v>
      </c>
    </row>
    <row r="285" spans="34:35" x14ac:dyDescent="0.3">
      <c r="AH285" s="11" t="s">
        <v>975</v>
      </c>
      <c r="AI285" s="10">
        <v>47000</v>
      </c>
    </row>
    <row r="286" spans="34:35" x14ac:dyDescent="0.3">
      <c r="AH286" s="11" t="s">
        <v>309</v>
      </c>
      <c r="AI286" s="10">
        <v>47000</v>
      </c>
    </row>
    <row r="287" spans="34:35" x14ac:dyDescent="0.3">
      <c r="AH287" s="11" t="s">
        <v>774</v>
      </c>
      <c r="AI287" s="10">
        <v>47000</v>
      </c>
    </row>
    <row r="288" spans="34:35" x14ac:dyDescent="0.3">
      <c r="AH288" s="11" t="s">
        <v>657</v>
      </c>
      <c r="AI288" s="10">
        <v>47000</v>
      </c>
    </row>
    <row r="289" spans="34:35" x14ac:dyDescent="0.3">
      <c r="AH289" s="11" t="s">
        <v>650</v>
      </c>
      <c r="AI289" s="10">
        <v>47000</v>
      </c>
    </row>
    <row r="290" spans="34:35" x14ac:dyDescent="0.3">
      <c r="AH290" s="11" t="s">
        <v>132</v>
      </c>
      <c r="AI290" s="10">
        <v>47000</v>
      </c>
    </row>
    <row r="291" spans="34:35" x14ac:dyDescent="0.3">
      <c r="AH291" s="11" t="s">
        <v>783</v>
      </c>
      <c r="AI291" s="10">
        <v>46000</v>
      </c>
    </row>
    <row r="292" spans="34:35" x14ac:dyDescent="0.3">
      <c r="AH292" s="11" t="s">
        <v>696</v>
      </c>
      <c r="AI292" s="10">
        <v>46000</v>
      </c>
    </row>
    <row r="293" spans="34:35" x14ac:dyDescent="0.3">
      <c r="AH293" s="11" t="s">
        <v>323</v>
      </c>
      <c r="AI293" s="10">
        <v>45000</v>
      </c>
    </row>
    <row r="294" spans="34:35" x14ac:dyDescent="0.3">
      <c r="AH294" s="11" t="s">
        <v>687</v>
      </c>
      <c r="AI294" s="10">
        <v>45000</v>
      </c>
    </row>
    <row r="295" spans="34:35" x14ac:dyDescent="0.3">
      <c r="AH295" s="11" t="s">
        <v>747</v>
      </c>
      <c r="AI295" s="10">
        <v>45000</v>
      </c>
    </row>
    <row r="296" spans="34:35" x14ac:dyDescent="0.3">
      <c r="AH296" s="11" t="s">
        <v>69</v>
      </c>
      <c r="AI296" s="10">
        <v>45000</v>
      </c>
    </row>
    <row r="297" spans="34:35" x14ac:dyDescent="0.3">
      <c r="AH297" s="11" t="s">
        <v>414</v>
      </c>
      <c r="AI297" s="10">
        <v>45000</v>
      </c>
    </row>
    <row r="298" spans="34:35" x14ac:dyDescent="0.3">
      <c r="AH298" s="11" t="s">
        <v>540</v>
      </c>
      <c r="AI298" s="10">
        <v>45000</v>
      </c>
    </row>
    <row r="299" spans="34:35" x14ac:dyDescent="0.3">
      <c r="AH299" s="11" t="s">
        <v>829</v>
      </c>
      <c r="AI299" s="10">
        <v>45000</v>
      </c>
    </row>
    <row r="300" spans="34:35" x14ac:dyDescent="0.3">
      <c r="AH300" s="11" t="s">
        <v>361</v>
      </c>
      <c r="AI300" s="10">
        <v>44000</v>
      </c>
    </row>
    <row r="301" spans="34:35" x14ac:dyDescent="0.3">
      <c r="AH301" s="11" t="s">
        <v>128</v>
      </c>
      <c r="AI301" s="10">
        <v>44000</v>
      </c>
    </row>
    <row r="302" spans="34:35" x14ac:dyDescent="0.3">
      <c r="AH302" s="11" t="s">
        <v>303</v>
      </c>
      <c r="AI302" s="10">
        <v>44000</v>
      </c>
    </row>
    <row r="303" spans="34:35" x14ac:dyDescent="0.3">
      <c r="AH303" s="11" t="s">
        <v>391</v>
      </c>
      <c r="AI303" s="10">
        <v>43000</v>
      </c>
    </row>
    <row r="304" spans="34:35" x14ac:dyDescent="0.3">
      <c r="AH304" s="11" t="s">
        <v>801</v>
      </c>
      <c r="AI304" s="10">
        <v>43000</v>
      </c>
    </row>
    <row r="305" spans="34:35" x14ac:dyDescent="0.3">
      <c r="AH305" s="11" t="s">
        <v>93</v>
      </c>
      <c r="AI305" s="10">
        <v>43000</v>
      </c>
    </row>
    <row r="306" spans="34:35" x14ac:dyDescent="0.3">
      <c r="AH306" s="11" t="s">
        <v>274</v>
      </c>
      <c r="AI306" s="10">
        <v>43000</v>
      </c>
    </row>
    <row r="307" spans="34:35" x14ac:dyDescent="0.3">
      <c r="AH307" s="11" t="s">
        <v>482</v>
      </c>
      <c r="AI307" s="10">
        <v>43000</v>
      </c>
    </row>
    <row r="308" spans="34:35" x14ac:dyDescent="0.3">
      <c r="AH308" s="11" t="s">
        <v>614</v>
      </c>
      <c r="AI308" s="10">
        <v>42000</v>
      </c>
    </row>
    <row r="309" spans="34:35" x14ac:dyDescent="0.3">
      <c r="AH309" s="11" t="s">
        <v>202</v>
      </c>
      <c r="AI309" s="10">
        <v>42000</v>
      </c>
    </row>
    <row r="310" spans="34:35" x14ac:dyDescent="0.3">
      <c r="AH310" s="11" t="s">
        <v>870</v>
      </c>
      <c r="AI310" s="10">
        <v>42000</v>
      </c>
    </row>
    <row r="311" spans="34:35" x14ac:dyDescent="0.3">
      <c r="AH311" s="11" t="s">
        <v>490</v>
      </c>
      <c r="AI311" s="10">
        <v>41000</v>
      </c>
    </row>
    <row r="312" spans="34:35" x14ac:dyDescent="0.3">
      <c r="AH312" s="11" t="s">
        <v>278</v>
      </c>
      <c r="AI312" s="10">
        <v>41000</v>
      </c>
    </row>
    <row r="313" spans="34:35" x14ac:dyDescent="0.3">
      <c r="AH313" s="11" t="s">
        <v>333</v>
      </c>
      <c r="AI313" s="10">
        <v>41000</v>
      </c>
    </row>
    <row r="314" spans="34:35" x14ac:dyDescent="0.3">
      <c r="AH314" s="11" t="s">
        <v>48</v>
      </c>
      <c r="AI314" s="10">
        <v>41000</v>
      </c>
    </row>
    <row r="315" spans="34:35" x14ac:dyDescent="0.3">
      <c r="AH315" s="11" t="s">
        <v>436</v>
      </c>
      <c r="AI315" s="10">
        <v>41000</v>
      </c>
    </row>
    <row r="316" spans="34:35" x14ac:dyDescent="0.3">
      <c r="AH316" s="11" t="s">
        <v>572</v>
      </c>
      <c r="AI316" s="10">
        <v>41000</v>
      </c>
    </row>
    <row r="317" spans="34:35" x14ac:dyDescent="0.3">
      <c r="AH317" s="11" t="s">
        <v>908</v>
      </c>
      <c r="AI317" s="10">
        <v>40000</v>
      </c>
    </row>
    <row r="318" spans="34:35" x14ac:dyDescent="0.3">
      <c r="AH318" s="11" t="s">
        <v>940</v>
      </c>
      <c r="AI318" s="10">
        <v>40000</v>
      </c>
    </row>
    <row r="319" spans="34:35" x14ac:dyDescent="0.3">
      <c r="AH319" s="11" t="s">
        <v>283</v>
      </c>
      <c r="AI319" s="10">
        <v>40000</v>
      </c>
    </row>
    <row r="320" spans="34:35" x14ac:dyDescent="0.3">
      <c r="AH320" s="11" t="s">
        <v>973</v>
      </c>
      <c r="AI320" s="10">
        <v>39000</v>
      </c>
    </row>
    <row r="321" spans="34:35" x14ac:dyDescent="0.3">
      <c r="AH321" s="11" t="s">
        <v>559</v>
      </c>
      <c r="AI321" s="10">
        <v>39000</v>
      </c>
    </row>
    <row r="322" spans="34:35" x14ac:dyDescent="0.3">
      <c r="AH322" s="11" t="s">
        <v>704</v>
      </c>
      <c r="AI322" s="10">
        <v>39000</v>
      </c>
    </row>
    <row r="323" spans="34:35" x14ac:dyDescent="0.3">
      <c r="AH323" s="11" t="s">
        <v>495</v>
      </c>
      <c r="AI323" s="10">
        <v>39000</v>
      </c>
    </row>
    <row r="324" spans="34:35" x14ac:dyDescent="0.3">
      <c r="AH324" s="11" t="s">
        <v>708</v>
      </c>
      <c r="AI324" s="10">
        <v>39000</v>
      </c>
    </row>
    <row r="325" spans="34:35" x14ac:dyDescent="0.3">
      <c r="AH325" s="11" t="s">
        <v>492</v>
      </c>
      <c r="AI325" s="10">
        <v>39000</v>
      </c>
    </row>
    <row r="326" spans="34:35" x14ac:dyDescent="0.3">
      <c r="AH326" s="11" t="s">
        <v>107</v>
      </c>
      <c r="AI326" s="10">
        <v>38000</v>
      </c>
    </row>
    <row r="327" spans="34:35" x14ac:dyDescent="0.3">
      <c r="AH327" s="11" t="s">
        <v>237</v>
      </c>
      <c r="AI327" s="10">
        <v>38000</v>
      </c>
    </row>
    <row r="328" spans="34:35" x14ac:dyDescent="0.3">
      <c r="AH328" s="11" t="s">
        <v>63</v>
      </c>
      <c r="AI328" s="10">
        <v>38000</v>
      </c>
    </row>
    <row r="329" spans="34:35" x14ac:dyDescent="0.3">
      <c r="AH329" s="11" t="s">
        <v>643</v>
      </c>
      <c r="AI329" s="10">
        <v>38000</v>
      </c>
    </row>
    <row r="330" spans="34:35" x14ac:dyDescent="0.3">
      <c r="AH330" s="11" t="s">
        <v>473</v>
      </c>
      <c r="AI330" s="10">
        <v>38000</v>
      </c>
    </row>
    <row r="331" spans="34:35" x14ac:dyDescent="0.3">
      <c r="AH331" s="11" t="s">
        <v>884</v>
      </c>
      <c r="AI331" s="10">
        <v>37000</v>
      </c>
    </row>
    <row r="332" spans="34:35" x14ac:dyDescent="0.3">
      <c r="AH332" s="11" t="s">
        <v>363</v>
      </c>
      <c r="AI332" s="10">
        <v>37000</v>
      </c>
    </row>
    <row r="333" spans="34:35" x14ac:dyDescent="0.3">
      <c r="AH333" s="11" t="s">
        <v>684</v>
      </c>
      <c r="AI333" s="10">
        <v>36000</v>
      </c>
    </row>
    <row r="334" spans="34:35" x14ac:dyDescent="0.3">
      <c r="AH334" s="11" t="s">
        <v>220</v>
      </c>
      <c r="AI334" s="10">
        <v>36000</v>
      </c>
    </row>
    <row r="335" spans="34:35" x14ac:dyDescent="0.3">
      <c r="AH335" s="11" t="s">
        <v>765</v>
      </c>
      <c r="AI335" s="10">
        <v>36000</v>
      </c>
    </row>
    <row r="336" spans="34:35" x14ac:dyDescent="0.3">
      <c r="AH336" s="11" t="s">
        <v>346</v>
      </c>
      <c r="AI336" s="10">
        <v>36000</v>
      </c>
    </row>
    <row r="337" spans="34:35" x14ac:dyDescent="0.3">
      <c r="AH337" s="11" t="s">
        <v>76</v>
      </c>
      <c r="AI337" s="10">
        <v>36000</v>
      </c>
    </row>
    <row r="338" spans="34:35" x14ac:dyDescent="0.3">
      <c r="AH338" s="11" t="s">
        <v>566</v>
      </c>
      <c r="AI338" s="10">
        <v>35000</v>
      </c>
    </row>
    <row r="339" spans="34:35" x14ac:dyDescent="0.3">
      <c r="AH339" s="11" t="s">
        <v>750</v>
      </c>
      <c r="AI339" s="10">
        <v>35000</v>
      </c>
    </row>
    <row r="340" spans="34:35" x14ac:dyDescent="0.3">
      <c r="AH340" s="11" t="s">
        <v>833</v>
      </c>
      <c r="AI340" s="10">
        <v>35000</v>
      </c>
    </row>
    <row r="341" spans="34:35" x14ac:dyDescent="0.3">
      <c r="AH341" s="11" t="s">
        <v>521</v>
      </c>
      <c r="AI341" s="10">
        <v>35000</v>
      </c>
    </row>
    <row r="342" spans="34:35" x14ac:dyDescent="0.3">
      <c r="AH342" s="11" t="s">
        <v>426</v>
      </c>
      <c r="AI342" s="10">
        <v>35000</v>
      </c>
    </row>
    <row r="343" spans="34:35" x14ac:dyDescent="0.3">
      <c r="AH343" s="11" t="s">
        <v>87</v>
      </c>
      <c r="AI343" s="10">
        <v>35000</v>
      </c>
    </row>
    <row r="344" spans="34:35" x14ac:dyDescent="0.3">
      <c r="AH344" s="11" t="s">
        <v>574</v>
      </c>
      <c r="AI344" s="10">
        <v>34000</v>
      </c>
    </row>
    <row r="345" spans="34:35" x14ac:dyDescent="0.3">
      <c r="AH345" s="11" t="s">
        <v>359</v>
      </c>
      <c r="AI345" s="10">
        <v>34000</v>
      </c>
    </row>
    <row r="346" spans="34:35" x14ac:dyDescent="0.3">
      <c r="AH346" s="11" t="s">
        <v>144</v>
      </c>
      <c r="AI346" s="10">
        <v>34000</v>
      </c>
    </row>
    <row r="347" spans="34:35" x14ac:dyDescent="0.3">
      <c r="AH347" s="11" t="s">
        <v>797</v>
      </c>
      <c r="AI347" s="10">
        <v>34000</v>
      </c>
    </row>
    <row r="348" spans="34:35" x14ac:dyDescent="0.3">
      <c r="AH348" s="11" t="s">
        <v>961</v>
      </c>
      <c r="AI348" s="10">
        <v>34000</v>
      </c>
    </row>
    <row r="349" spans="34:35" x14ac:dyDescent="0.3">
      <c r="AH349" s="11" t="s">
        <v>533</v>
      </c>
      <c r="AI349" s="10">
        <v>34000</v>
      </c>
    </row>
    <row r="350" spans="34:35" x14ac:dyDescent="0.3">
      <c r="AH350" s="11" t="s">
        <v>281</v>
      </c>
      <c r="AI350" s="10">
        <v>34000</v>
      </c>
    </row>
    <row r="351" spans="34:35" x14ac:dyDescent="0.3">
      <c r="AH351" s="11" t="s">
        <v>934</v>
      </c>
      <c r="AI351" s="10">
        <v>33000</v>
      </c>
    </row>
    <row r="352" spans="34:35" x14ac:dyDescent="0.3">
      <c r="AH352" s="11" t="s">
        <v>659</v>
      </c>
      <c r="AI352" s="10">
        <v>33000</v>
      </c>
    </row>
    <row r="353" spans="34:35" x14ac:dyDescent="0.3">
      <c r="AH353" s="11" t="s">
        <v>881</v>
      </c>
      <c r="AI353" s="10">
        <v>33000</v>
      </c>
    </row>
    <row r="354" spans="34:35" x14ac:dyDescent="0.3">
      <c r="AH354" s="11" t="s">
        <v>382</v>
      </c>
      <c r="AI354" s="10">
        <v>33000</v>
      </c>
    </row>
    <row r="355" spans="34:35" x14ac:dyDescent="0.3">
      <c r="AH355" s="11" t="s">
        <v>895</v>
      </c>
      <c r="AI355" s="10">
        <v>33000</v>
      </c>
    </row>
    <row r="356" spans="34:35" x14ac:dyDescent="0.3">
      <c r="AH356" s="11" t="s">
        <v>626</v>
      </c>
      <c r="AI356" s="10">
        <v>32000</v>
      </c>
    </row>
    <row r="357" spans="34:35" x14ac:dyDescent="0.3">
      <c r="AH357" s="11" t="s">
        <v>263</v>
      </c>
      <c r="AI357" s="10">
        <v>32000</v>
      </c>
    </row>
    <row r="358" spans="34:35" x14ac:dyDescent="0.3">
      <c r="AH358" s="11" t="s">
        <v>400</v>
      </c>
      <c r="AI358" s="10">
        <v>32000</v>
      </c>
    </row>
    <row r="359" spans="34:35" x14ac:dyDescent="0.3">
      <c r="AH359" s="11" t="s">
        <v>811</v>
      </c>
      <c r="AI359" s="10">
        <v>32000</v>
      </c>
    </row>
    <row r="360" spans="34:35" x14ac:dyDescent="0.3">
      <c r="AH360" s="11" t="s">
        <v>165</v>
      </c>
      <c r="AI360" s="10">
        <v>32000</v>
      </c>
    </row>
    <row r="361" spans="34:35" x14ac:dyDescent="0.3">
      <c r="AH361" s="11" t="s">
        <v>544</v>
      </c>
      <c r="AI361" s="10">
        <v>32000</v>
      </c>
    </row>
    <row r="362" spans="34:35" x14ac:dyDescent="0.3">
      <c r="AH362" s="11" t="s">
        <v>632</v>
      </c>
      <c r="AI362" s="10">
        <v>31000</v>
      </c>
    </row>
    <row r="363" spans="34:35" x14ac:dyDescent="0.3">
      <c r="AH363" s="11" t="s">
        <v>442</v>
      </c>
      <c r="AI363" s="10">
        <v>30000</v>
      </c>
    </row>
    <row r="364" spans="34:35" x14ac:dyDescent="0.3">
      <c r="AH364" s="11" t="s">
        <v>232</v>
      </c>
      <c r="AI364" s="10">
        <v>30000</v>
      </c>
    </row>
    <row r="365" spans="34:35" x14ac:dyDescent="0.3">
      <c r="AH365" s="11" t="s">
        <v>1016</v>
      </c>
      <c r="AI365" s="10">
        <v>30000</v>
      </c>
    </row>
    <row r="366" spans="34:35" x14ac:dyDescent="0.3">
      <c r="AH366" s="11" t="s">
        <v>357</v>
      </c>
      <c r="AI366" s="10">
        <v>30000</v>
      </c>
    </row>
    <row r="367" spans="34:35" x14ac:dyDescent="0.3">
      <c r="AH367" s="11" t="s">
        <v>169</v>
      </c>
      <c r="AI367" s="10">
        <v>30000</v>
      </c>
    </row>
    <row r="368" spans="34:35" x14ac:dyDescent="0.3">
      <c r="AH368" s="11" t="s">
        <v>918</v>
      </c>
      <c r="AI368" s="10">
        <v>30000</v>
      </c>
    </row>
    <row r="369" spans="34:35" x14ac:dyDescent="0.3">
      <c r="AH369" s="11" t="s">
        <v>771</v>
      </c>
      <c r="AI369" s="10">
        <v>29000</v>
      </c>
    </row>
    <row r="370" spans="34:35" x14ac:dyDescent="0.3">
      <c r="AH370" s="11" t="s">
        <v>366</v>
      </c>
      <c r="AI370" s="10">
        <v>29000</v>
      </c>
    </row>
    <row r="371" spans="34:35" x14ac:dyDescent="0.3">
      <c r="AH371" s="11" t="s">
        <v>856</v>
      </c>
      <c r="AI371" s="10">
        <v>29000</v>
      </c>
    </row>
    <row r="372" spans="34:35" x14ac:dyDescent="0.3">
      <c r="AH372" s="11" t="s">
        <v>342</v>
      </c>
      <c r="AI372" s="10">
        <v>29000</v>
      </c>
    </row>
    <row r="373" spans="34:35" x14ac:dyDescent="0.3">
      <c r="AH373" s="11" t="s">
        <v>753</v>
      </c>
      <c r="AI373" s="10">
        <v>29000</v>
      </c>
    </row>
    <row r="374" spans="34:35" x14ac:dyDescent="0.3">
      <c r="AH374" s="11" t="s">
        <v>212</v>
      </c>
      <c r="AI374" s="10">
        <v>29000</v>
      </c>
    </row>
    <row r="375" spans="34:35" x14ac:dyDescent="0.3">
      <c r="AH375" s="11" t="s">
        <v>451</v>
      </c>
      <c r="AI375" s="10">
        <v>28000</v>
      </c>
    </row>
    <row r="376" spans="34:35" x14ac:dyDescent="0.3">
      <c r="AH376" s="11" t="s">
        <v>618</v>
      </c>
      <c r="AI376" s="10">
        <v>28000</v>
      </c>
    </row>
    <row r="377" spans="34:35" x14ac:dyDescent="0.3">
      <c r="AH377" s="11" t="s">
        <v>385</v>
      </c>
      <c r="AI377" s="10">
        <v>28000</v>
      </c>
    </row>
    <row r="378" spans="34:35" x14ac:dyDescent="0.3">
      <c r="AH378" s="11" t="s">
        <v>160</v>
      </c>
      <c r="AI378" s="10">
        <v>28000</v>
      </c>
    </row>
    <row r="379" spans="34:35" x14ac:dyDescent="0.3">
      <c r="AH379" s="11" t="s">
        <v>150</v>
      </c>
      <c r="AI379" s="10">
        <v>28000</v>
      </c>
    </row>
    <row r="380" spans="34:35" x14ac:dyDescent="0.3">
      <c r="AH380" s="11" t="s">
        <v>706</v>
      </c>
      <c r="AI380" s="10">
        <v>28000</v>
      </c>
    </row>
    <row r="381" spans="34:35" x14ac:dyDescent="0.3">
      <c r="AH381" s="11" t="s">
        <v>971</v>
      </c>
      <c r="AI381" s="10">
        <v>27000</v>
      </c>
    </row>
    <row r="382" spans="34:35" x14ac:dyDescent="0.3">
      <c r="AH382" s="11" t="s">
        <v>285</v>
      </c>
      <c r="AI382" s="10">
        <v>27000</v>
      </c>
    </row>
    <row r="383" spans="34:35" x14ac:dyDescent="0.3">
      <c r="AH383" s="11" t="s">
        <v>889</v>
      </c>
      <c r="AI383" s="10">
        <v>27000</v>
      </c>
    </row>
    <row r="384" spans="34:35" x14ac:dyDescent="0.3">
      <c r="AH384" s="11" t="s">
        <v>815</v>
      </c>
      <c r="AI384" s="10">
        <v>26000</v>
      </c>
    </row>
    <row r="385" spans="34:35" x14ac:dyDescent="0.3">
      <c r="AH385" s="11" t="s">
        <v>604</v>
      </c>
      <c r="AI385" s="10">
        <v>26000</v>
      </c>
    </row>
    <row r="386" spans="34:35" x14ac:dyDescent="0.3">
      <c r="AH386" s="11" t="s">
        <v>456</v>
      </c>
      <c r="AI386" s="10">
        <v>26000</v>
      </c>
    </row>
    <row r="387" spans="34:35" x14ac:dyDescent="0.3">
      <c r="AH387" s="11" t="s">
        <v>527</v>
      </c>
      <c r="AI387" s="10">
        <v>26000</v>
      </c>
    </row>
    <row r="388" spans="34:35" x14ac:dyDescent="0.3">
      <c r="AH388" s="11" t="s">
        <v>779</v>
      </c>
      <c r="AI388" s="10">
        <v>25000</v>
      </c>
    </row>
    <row r="389" spans="34:35" x14ac:dyDescent="0.3">
      <c r="AH389" s="11" t="s">
        <v>82</v>
      </c>
      <c r="AI389" s="10">
        <v>25000</v>
      </c>
    </row>
    <row r="390" spans="34:35" x14ac:dyDescent="0.3">
      <c r="AH390" s="11" t="s">
        <v>329</v>
      </c>
      <c r="AI390" s="10">
        <v>25000</v>
      </c>
    </row>
    <row r="391" spans="34:35" x14ac:dyDescent="0.3">
      <c r="AH391" s="11" t="s">
        <v>380</v>
      </c>
      <c r="AI391" s="10">
        <v>25000</v>
      </c>
    </row>
    <row r="392" spans="34:35" x14ac:dyDescent="0.3">
      <c r="AH392" s="11" t="s">
        <v>741</v>
      </c>
      <c r="AI392" s="10">
        <v>24000</v>
      </c>
    </row>
    <row r="393" spans="34:35" x14ac:dyDescent="0.3">
      <c r="AH393" s="11" t="s">
        <v>186</v>
      </c>
      <c r="AI393" s="10">
        <v>23000</v>
      </c>
    </row>
    <row r="394" spans="34:35" x14ac:dyDescent="0.3">
      <c r="AH394" s="11" t="s">
        <v>464</v>
      </c>
      <c r="AI394" s="10">
        <v>22000</v>
      </c>
    </row>
    <row r="395" spans="34:35" x14ac:dyDescent="0.3">
      <c r="AH395" s="11" t="s">
        <v>845</v>
      </c>
      <c r="AI395" s="10">
        <v>22000</v>
      </c>
    </row>
    <row r="396" spans="34:35" x14ac:dyDescent="0.3">
      <c r="AH396" s="11" t="s">
        <v>1014</v>
      </c>
      <c r="AI396" s="10">
        <v>22000</v>
      </c>
    </row>
    <row r="397" spans="34:35" x14ac:dyDescent="0.3">
      <c r="AH397" s="11" t="s">
        <v>865</v>
      </c>
      <c r="AI397" s="10">
        <v>22000</v>
      </c>
    </row>
    <row r="398" spans="34:35" x14ac:dyDescent="0.3">
      <c r="AH398" s="11" t="s">
        <v>1000</v>
      </c>
      <c r="AI398" s="10">
        <v>22000</v>
      </c>
    </row>
    <row r="399" spans="34:35" x14ac:dyDescent="0.3">
      <c r="AH399" s="11" t="s">
        <v>1002</v>
      </c>
      <c r="AI399" s="10">
        <v>22000</v>
      </c>
    </row>
    <row r="400" spans="34:35" x14ac:dyDescent="0.3">
      <c r="AH400" s="11" t="s">
        <v>553</v>
      </c>
      <c r="AI400" s="10">
        <v>21000</v>
      </c>
    </row>
    <row r="401" spans="34:35" x14ac:dyDescent="0.3">
      <c r="AH401" s="11" t="s">
        <v>1005</v>
      </c>
      <c r="AI401" s="10">
        <v>21000</v>
      </c>
    </row>
    <row r="402" spans="34:35" x14ac:dyDescent="0.3">
      <c r="AH402" s="11" t="s">
        <v>612</v>
      </c>
      <c r="AI402" s="10">
        <v>20000</v>
      </c>
    </row>
    <row r="403" spans="34:35" x14ac:dyDescent="0.3">
      <c r="AH403" s="11" t="s">
        <v>1007</v>
      </c>
      <c r="AI403" s="10">
        <v>20000</v>
      </c>
    </row>
    <row r="404" spans="34:35" x14ac:dyDescent="0.3">
      <c r="AH404" s="11" t="s">
        <v>167</v>
      </c>
      <c r="AI404" s="10">
        <v>20000</v>
      </c>
    </row>
    <row r="405" spans="34:35" x14ac:dyDescent="0.3">
      <c r="AH405" s="11" t="s">
        <v>228</v>
      </c>
      <c r="AI405" s="10">
        <v>20000</v>
      </c>
    </row>
    <row r="406" spans="34:35" x14ac:dyDescent="0.3">
      <c r="AH406" s="11" t="s">
        <v>808</v>
      </c>
      <c r="AI406" s="10">
        <v>19000</v>
      </c>
    </row>
    <row r="407" spans="34:35" x14ac:dyDescent="0.3">
      <c r="AH407" s="11" t="s">
        <v>872</v>
      </c>
      <c r="AI407" s="10">
        <v>19000</v>
      </c>
    </row>
    <row r="408" spans="34:35" x14ac:dyDescent="0.3">
      <c r="AH408" s="11" t="s">
        <v>516</v>
      </c>
      <c r="AI408" s="10">
        <v>19000</v>
      </c>
    </row>
    <row r="409" spans="34:35" x14ac:dyDescent="0.3">
      <c r="AH409" s="11" t="s">
        <v>785</v>
      </c>
      <c r="AI409" s="10">
        <v>19000</v>
      </c>
    </row>
    <row r="410" spans="34:35" x14ac:dyDescent="0.3">
      <c r="AH410" s="11" t="s">
        <v>301</v>
      </c>
      <c r="AI410" s="10">
        <v>18000</v>
      </c>
    </row>
    <row r="411" spans="34:35" x14ac:dyDescent="0.3">
      <c r="AH411" s="11" t="s">
        <v>396</v>
      </c>
      <c r="AI411" s="10">
        <v>18000</v>
      </c>
    </row>
    <row r="412" spans="34:35" x14ac:dyDescent="0.3">
      <c r="AH412" s="11" t="s">
        <v>535</v>
      </c>
      <c r="AI412" s="10">
        <v>17000</v>
      </c>
    </row>
    <row r="413" spans="34:35" x14ac:dyDescent="0.3">
      <c r="AH413" s="11" t="s">
        <v>602</v>
      </c>
      <c r="AI413" s="10">
        <v>16000</v>
      </c>
    </row>
    <row r="414" spans="34:35" x14ac:dyDescent="0.3">
      <c r="AH414" s="11" t="s">
        <v>1012</v>
      </c>
      <c r="AI414" s="10">
        <v>15000</v>
      </c>
    </row>
    <row r="415" spans="34:35" x14ac:dyDescent="0.3">
      <c r="AH415" s="11" t="s">
        <v>1026</v>
      </c>
      <c r="AI415" s="10">
        <v>29405000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428FE-AD46-4D56-9CCC-1CE6AF36E17C}">
  <dimension ref="A1:M544"/>
  <sheetViews>
    <sheetView topLeftCell="D39" zoomScale="86" workbookViewId="0">
      <selection activeCell="G12" sqref="G12"/>
    </sheetView>
  </sheetViews>
  <sheetFormatPr defaultRowHeight="14.4" x14ac:dyDescent="0.3"/>
  <cols>
    <col min="1" max="1" width="6.33203125" bestFit="1" customWidth="1"/>
    <col min="2" max="2" width="9.5546875" bestFit="1" customWidth="1"/>
    <col min="3" max="3" width="17.5546875" bestFit="1" customWidth="1"/>
    <col min="4" max="4" width="15.77734375" bestFit="1" customWidth="1"/>
    <col min="5" max="5" width="11.33203125" bestFit="1" customWidth="1"/>
    <col min="6" max="6" width="18.21875" bestFit="1" customWidth="1"/>
    <col min="7" max="7" width="10.109375" bestFit="1" customWidth="1"/>
    <col min="8" max="8" width="20.5546875" bestFit="1" customWidth="1"/>
    <col min="9" max="9" width="14.77734375" bestFit="1" customWidth="1"/>
    <col min="10" max="10" width="21" bestFit="1" customWidth="1"/>
    <col min="11" max="11" width="8.21875" bestFit="1" customWidth="1"/>
    <col min="12" max="12" width="19.109375" bestFit="1" customWidth="1"/>
    <col min="13" max="13" width="13.5546875" bestFit="1" customWidth="1"/>
  </cols>
  <sheetData>
    <row r="1" spans="1:13" x14ac:dyDescent="0.3">
      <c r="A1" s="28" t="s">
        <v>0</v>
      </c>
      <c r="B1" s="28"/>
      <c r="C1" s="28"/>
      <c r="D1" s="28"/>
      <c r="E1" s="28"/>
      <c r="F1" s="28"/>
      <c r="G1" s="28"/>
      <c r="H1" s="28"/>
      <c r="I1" s="28"/>
      <c r="J1" s="28"/>
      <c r="K1" s="28"/>
      <c r="L1" s="28"/>
      <c r="M1" s="28"/>
    </row>
    <row r="2" spans="1:13" ht="15" thickBot="1" x14ac:dyDescent="0.35">
      <c r="A2" s="1" t="s">
        <v>1</v>
      </c>
      <c r="B2" s="1" t="s">
        <v>2</v>
      </c>
      <c r="C2" s="1" t="s">
        <v>3</v>
      </c>
      <c r="D2" s="1" t="s">
        <v>4</v>
      </c>
      <c r="E2" s="1" t="s">
        <v>5</v>
      </c>
      <c r="F2" s="1" t="s">
        <v>6</v>
      </c>
      <c r="G2" s="1" t="s">
        <v>7</v>
      </c>
      <c r="H2" s="1" t="s">
        <v>8</v>
      </c>
      <c r="I2" s="1" t="s">
        <v>9</v>
      </c>
      <c r="J2" s="1" t="s">
        <v>10</v>
      </c>
      <c r="K2" s="1" t="s">
        <v>11</v>
      </c>
      <c r="L2" s="1" t="s">
        <v>12</v>
      </c>
      <c r="M2" s="1" t="s">
        <v>13</v>
      </c>
    </row>
    <row r="3" spans="1:13" x14ac:dyDescent="0.3">
      <c r="A3" s="2">
        <v>1</v>
      </c>
      <c r="B3" s="2" t="s">
        <v>14</v>
      </c>
      <c r="C3" s="2" t="s">
        <v>15</v>
      </c>
      <c r="D3" s="2" t="s">
        <v>16</v>
      </c>
      <c r="E3" s="2" t="s">
        <v>17</v>
      </c>
      <c r="F3" s="2" t="s">
        <v>18</v>
      </c>
      <c r="G3" s="3">
        <v>60000</v>
      </c>
      <c r="H3" s="2" t="s">
        <v>19</v>
      </c>
      <c r="I3" s="2" t="s">
        <v>20</v>
      </c>
      <c r="J3" s="2">
        <v>1</v>
      </c>
      <c r="K3" s="2" t="s">
        <v>21</v>
      </c>
      <c r="L3" s="2" t="s">
        <v>22</v>
      </c>
      <c r="M3" s="2">
        <v>6</v>
      </c>
    </row>
    <row r="4" spans="1:13" x14ac:dyDescent="0.3">
      <c r="A4" s="4">
        <v>2</v>
      </c>
      <c r="B4" s="4" t="s">
        <v>23</v>
      </c>
      <c r="C4" s="4" t="s">
        <v>24</v>
      </c>
      <c r="D4" s="4" t="s">
        <v>16</v>
      </c>
      <c r="E4" s="4" t="s">
        <v>25</v>
      </c>
      <c r="F4" s="4" t="s">
        <v>18</v>
      </c>
      <c r="G4" s="5">
        <v>32000</v>
      </c>
      <c r="H4" s="4" t="s">
        <v>26</v>
      </c>
      <c r="I4" s="4" t="s">
        <v>20</v>
      </c>
      <c r="J4" s="4">
        <v>11</v>
      </c>
      <c r="K4" s="4" t="s">
        <v>27</v>
      </c>
      <c r="L4" s="4" t="s">
        <v>22</v>
      </c>
      <c r="M4" s="4">
        <v>6</v>
      </c>
    </row>
    <row r="5" spans="1:13" x14ac:dyDescent="0.3">
      <c r="A5" s="2">
        <v>3</v>
      </c>
      <c r="B5" s="2" t="s">
        <v>28</v>
      </c>
      <c r="C5" s="2" t="s">
        <v>29</v>
      </c>
      <c r="D5" s="2" t="s">
        <v>30</v>
      </c>
      <c r="E5" s="2" t="s">
        <v>17</v>
      </c>
      <c r="F5" s="2" t="s">
        <v>31</v>
      </c>
      <c r="G5" s="3">
        <v>34000</v>
      </c>
      <c r="H5" s="2" t="s">
        <v>32</v>
      </c>
      <c r="I5" s="2" t="s">
        <v>20</v>
      </c>
      <c r="J5" s="2">
        <v>10</v>
      </c>
      <c r="K5" s="2" t="s">
        <v>27</v>
      </c>
      <c r="L5" s="2" t="s">
        <v>22</v>
      </c>
      <c r="M5" s="2">
        <v>8</v>
      </c>
    </row>
    <row r="6" spans="1:13" x14ac:dyDescent="0.3">
      <c r="A6" s="4">
        <v>4</v>
      </c>
      <c r="B6" s="4" t="s">
        <v>33</v>
      </c>
      <c r="C6" s="4" t="s">
        <v>34</v>
      </c>
      <c r="D6" s="4" t="s">
        <v>30</v>
      </c>
      <c r="E6" s="4" t="s">
        <v>25</v>
      </c>
      <c r="F6" s="4" t="s">
        <v>35</v>
      </c>
      <c r="G6" s="5">
        <v>67000</v>
      </c>
      <c r="H6" s="4" t="s">
        <v>36</v>
      </c>
      <c r="I6" s="4" t="s">
        <v>20</v>
      </c>
      <c r="J6" s="4">
        <v>11</v>
      </c>
      <c r="K6" s="4" t="s">
        <v>21</v>
      </c>
      <c r="L6" s="4" t="s">
        <v>22</v>
      </c>
      <c r="M6" s="4">
        <v>5</v>
      </c>
    </row>
    <row r="7" spans="1:13" x14ac:dyDescent="0.3">
      <c r="A7" s="2">
        <v>5</v>
      </c>
      <c r="B7" s="2" t="s">
        <v>37</v>
      </c>
      <c r="C7" s="2" t="s">
        <v>38</v>
      </c>
      <c r="D7" s="2" t="s">
        <v>30</v>
      </c>
      <c r="E7" s="2" t="s">
        <v>39</v>
      </c>
      <c r="F7" s="2" t="s">
        <v>35</v>
      </c>
      <c r="G7" s="3">
        <v>61000</v>
      </c>
      <c r="H7" s="2" t="s">
        <v>36</v>
      </c>
      <c r="I7" s="2" t="s">
        <v>20</v>
      </c>
      <c r="J7" s="2">
        <v>15</v>
      </c>
      <c r="K7" s="2" t="s">
        <v>21</v>
      </c>
      <c r="L7" s="2" t="s">
        <v>22</v>
      </c>
      <c r="M7" s="2">
        <v>8</v>
      </c>
    </row>
    <row r="8" spans="1:13" x14ac:dyDescent="0.3">
      <c r="A8" s="4">
        <v>6</v>
      </c>
      <c r="B8" s="4" t="s">
        <v>40</v>
      </c>
      <c r="C8" s="4" t="s">
        <v>41</v>
      </c>
      <c r="D8" s="4" t="s">
        <v>16</v>
      </c>
      <c r="E8" s="4" t="s">
        <v>25</v>
      </c>
      <c r="F8" s="4" t="s">
        <v>42</v>
      </c>
      <c r="G8" s="5">
        <v>72000</v>
      </c>
      <c r="H8" s="4" t="s">
        <v>36</v>
      </c>
      <c r="I8" s="4" t="s">
        <v>20</v>
      </c>
      <c r="J8" s="4">
        <v>17</v>
      </c>
      <c r="K8" s="4" t="s">
        <v>27</v>
      </c>
      <c r="L8" s="4" t="s">
        <v>22</v>
      </c>
      <c r="M8" s="4">
        <v>10</v>
      </c>
    </row>
    <row r="9" spans="1:13" x14ac:dyDescent="0.3">
      <c r="A9" s="2">
        <v>7</v>
      </c>
      <c r="B9" s="2" t="s">
        <v>43</v>
      </c>
      <c r="C9" s="2" t="s">
        <v>44</v>
      </c>
      <c r="D9" s="2" t="s">
        <v>30</v>
      </c>
      <c r="E9" s="2" t="s">
        <v>45</v>
      </c>
      <c r="F9" s="2" t="s">
        <v>35</v>
      </c>
      <c r="G9" s="3">
        <v>39000</v>
      </c>
      <c r="H9" s="2" t="s">
        <v>36</v>
      </c>
      <c r="I9" s="2" t="s">
        <v>20</v>
      </c>
      <c r="J9" s="2">
        <v>16</v>
      </c>
      <c r="K9" s="2" t="s">
        <v>21</v>
      </c>
      <c r="L9" s="2" t="s">
        <v>46</v>
      </c>
      <c r="M9" s="2">
        <v>4</v>
      </c>
    </row>
    <row r="10" spans="1:13" x14ac:dyDescent="0.3">
      <c r="A10" s="4">
        <v>8</v>
      </c>
      <c r="B10" s="4" t="s">
        <v>47</v>
      </c>
      <c r="C10" s="4" t="s">
        <v>48</v>
      </c>
      <c r="D10" s="4" t="s">
        <v>49</v>
      </c>
      <c r="E10" s="4" t="s">
        <v>50</v>
      </c>
      <c r="F10" s="4" t="s">
        <v>51</v>
      </c>
      <c r="G10" s="5">
        <v>41000</v>
      </c>
      <c r="H10" s="4" t="s">
        <v>19</v>
      </c>
      <c r="I10" s="4" t="s">
        <v>20</v>
      </c>
      <c r="J10" s="4">
        <v>6</v>
      </c>
      <c r="K10" s="4" t="s">
        <v>21</v>
      </c>
      <c r="L10" s="4" t="s">
        <v>22</v>
      </c>
      <c r="M10" s="4">
        <v>9</v>
      </c>
    </row>
    <row r="11" spans="1:13" x14ac:dyDescent="0.3">
      <c r="A11" s="2">
        <v>9</v>
      </c>
      <c r="B11" s="2" t="s">
        <v>52</v>
      </c>
      <c r="C11" s="2" t="s">
        <v>53</v>
      </c>
      <c r="D11" s="2" t="s">
        <v>54</v>
      </c>
      <c r="E11" s="2" t="s">
        <v>55</v>
      </c>
      <c r="F11" s="2" t="s">
        <v>56</v>
      </c>
      <c r="G11" s="3">
        <v>66000</v>
      </c>
      <c r="H11" s="2" t="s">
        <v>36</v>
      </c>
      <c r="I11" s="2" t="s">
        <v>20</v>
      </c>
      <c r="J11" s="2">
        <v>8</v>
      </c>
      <c r="K11" s="2" t="s">
        <v>27</v>
      </c>
      <c r="L11" s="2" t="s">
        <v>57</v>
      </c>
      <c r="M11" s="2">
        <v>0</v>
      </c>
    </row>
    <row r="12" spans="1:13" x14ac:dyDescent="0.3">
      <c r="A12" s="4">
        <v>10</v>
      </c>
      <c r="B12" s="4" t="s">
        <v>58</v>
      </c>
      <c r="C12" s="4" t="s">
        <v>29</v>
      </c>
      <c r="D12" s="4" t="s">
        <v>59</v>
      </c>
      <c r="E12" s="4" t="s">
        <v>60</v>
      </c>
      <c r="F12" s="4" t="s">
        <v>61</v>
      </c>
      <c r="G12" s="5">
        <v>68000</v>
      </c>
      <c r="H12" s="4" t="s">
        <v>32</v>
      </c>
      <c r="I12" s="4" t="s">
        <v>20</v>
      </c>
      <c r="J12" s="4">
        <v>0</v>
      </c>
      <c r="K12" s="4" t="s">
        <v>21</v>
      </c>
      <c r="L12" s="4" t="s">
        <v>22</v>
      </c>
      <c r="M12" s="4">
        <v>1</v>
      </c>
    </row>
    <row r="13" spans="1:13" x14ac:dyDescent="0.3">
      <c r="A13" s="2">
        <v>11</v>
      </c>
      <c r="B13" s="2" t="s">
        <v>62</v>
      </c>
      <c r="C13" s="2" t="s">
        <v>63</v>
      </c>
      <c r="D13" s="2" t="s">
        <v>59</v>
      </c>
      <c r="E13" s="2" t="s">
        <v>50</v>
      </c>
      <c r="F13" s="2" t="s">
        <v>61</v>
      </c>
      <c r="G13" s="3">
        <v>38000</v>
      </c>
      <c r="H13" s="2" t="s">
        <v>19</v>
      </c>
      <c r="I13" s="2" t="s">
        <v>20</v>
      </c>
      <c r="J13" s="2">
        <v>5</v>
      </c>
      <c r="K13" s="2" t="s">
        <v>27</v>
      </c>
      <c r="L13" s="2" t="s">
        <v>22</v>
      </c>
      <c r="M13" s="2">
        <v>6</v>
      </c>
    </row>
    <row r="14" spans="1:13" x14ac:dyDescent="0.3">
      <c r="A14" s="4">
        <v>12</v>
      </c>
      <c r="B14" s="4" t="s">
        <v>64</v>
      </c>
      <c r="C14" s="4" t="s">
        <v>65</v>
      </c>
      <c r="D14" s="4" t="s">
        <v>66</v>
      </c>
      <c r="E14" s="4" t="s">
        <v>17</v>
      </c>
      <c r="F14" s="4" t="s">
        <v>67</v>
      </c>
      <c r="G14" s="5">
        <v>25000</v>
      </c>
      <c r="H14" s="4" t="s">
        <v>36</v>
      </c>
      <c r="I14" s="4" t="s">
        <v>20</v>
      </c>
      <c r="J14" s="4">
        <v>3</v>
      </c>
      <c r="K14" s="4" t="s">
        <v>21</v>
      </c>
      <c r="L14" s="4" t="s">
        <v>22</v>
      </c>
      <c r="M14" s="4">
        <v>7</v>
      </c>
    </row>
    <row r="15" spans="1:13" x14ac:dyDescent="0.3">
      <c r="A15" s="2">
        <v>13</v>
      </c>
      <c r="B15" s="2" t="s">
        <v>68</v>
      </c>
      <c r="C15" s="2" t="s">
        <v>69</v>
      </c>
      <c r="D15" s="2" t="s">
        <v>49</v>
      </c>
      <c r="E15" s="2" t="s">
        <v>60</v>
      </c>
      <c r="F15" s="2" t="s">
        <v>70</v>
      </c>
      <c r="G15" s="3">
        <v>45000</v>
      </c>
      <c r="H15" s="2" t="s">
        <v>26</v>
      </c>
      <c r="I15" s="2" t="s">
        <v>20</v>
      </c>
      <c r="J15" s="2">
        <v>4</v>
      </c>
      <c r="K15" s="2" t="s">
        <v>27</v>
      </c>
      <c r="L15" s="2" t="s">
        <v>57</v>
      </c>
      <c r="M15" s="2">
        <v>1</v>
      </c>
    </row>
    <row r="16" spans="1:13" x14ac:dyDescent="0.3">
      <c r="A16" s="4">
        <v>14</v>
      </c>
      <c r="B16" s="4" t="s">
        <v>71</v>
      </c>
      <c r="C16" s="4" t="s">
        <v>72</v>
      </c>
      <c r="D16" s="4" t="s">
        <v>16</v>
      </c>
      <c r="E16" s="4" t="s">
        <v>73</v>
      </c>
      <c r="F16" s="4" t="s">
        <v>74</v>
      </c>
      <c r="G16" s="5">
        <v>85000</v>
      </c>
      <c r="H16" s="4" t="s">
        <v>19</v>
      </c>
      <c r="I16" s="4" t="s">
        <v>20</v>
      </c>
      <c r="J16" s="4">
        <v>4</v>
      </c>
      <c r="K16" s="4" t="s">
        <v>21</v>
      </c>
      <c r="L16" s="4" t="s">
        <v>46</v>
      </c>
      <c r="M16" s="4">
        <v>7</v>
      </c>
    </row>
    <row r="17" spans="1:13" x14ac:dyDescent="0.3">
      <c r="A17" s="2">
        <v>15</v>
      </c>
      <c r="B17" s="2" t="s">
        <v>75</v>
      </c>
      <c r="C17" s="2" t="s">
        <v>76</v>
      </c>
      <c r="D17" s="2" t="s">
        <v>30</v>
      </c>
      <c r="E17" s="2" t="s">
        <v>50</v>
      </c>
      <c r="F17" s="2" t="s">
        <v>77</v>
      </c>
      <c r="G17" s="3">
        <v>36000</v>
      </c>
      <c r="H17" s="2" t="s">
        <v>19</v>
      </c>
      <c r="I17" s="2" t="s">
        <v>20</v>
      </c>
      <c r="J17" s="2">
        <v>13</v>
      </c>
      <c r="K17" s="2" t="s">
        <v>27</v>
      </c>
      <c r="L17" s="2" t="s">
        <v>22</v>
      </c>
      <c r="M17" s="2">
        <v>10</v>
      </c>
    </row>
    <row r="18" spans="1:13" x14ac:dyDescent="0.3">
      <c r="A18" s="4">
        <v>16</v>
      </c>
      <c r="B18" s="4" t="s">
        <v>78</v>
      </c>
      <c r="C18" s="4" t="s">
        <v>79</v>
      </c>
      <c r="D18" s="4" t="s">
        <v>59</v>
      </c>
      <c r="E18" s="4" t="s">
        <v>17</v>
      </c>
      <c r="F18" s="4" t="s">
        <v>80</v>
      </c>
      <c r="G18" s="5">
        <v>43000</v>
      </c>
      <c r="H18" s="4" t="s">
        <v>32</v>
      </c>
      <c r="I18" s="4" t="s">
        <v>20</v>
      </c>
      <c r="J18" s="4">
        <v>7</v>
      </c>
      <c r="K18" s="4" t="s">
        <v>21</v>
      </c>
      <c r="L18" s="4" t="s">
        <v>22</v>
      </c>
      <c r="M18" s="4">
        <v>3</v>
      </c>
    </row>
    <row r="19" spans="1:13" x14ac:dyDescent="0.3">
      <c r="A19" s="2">
        <v>17</v>
      </c>
      <c r="B19" s="2" t="s">
        <v>81</v>
      </c>
      <c r="C19" s="2" t="s">
        <v>82</v>
      </c>
      <c r="D19" s="2" t="s">
        <v>49</v>
      </c>
      <c r="E19" s="2" t="s">
        <v>73</v>
      </c>
      <c r="F19" s="2" t="s">
        <v>70</v>
      </c>
      <c r="G19" s="3">
        <v>25000</v>
      </c>
      <c r="H19" s="2" t="s">
        <v>36</v>
      </c>
      <c r="I19" s="2" t="s">
        <v>20</v>
      </c>
      <c r="J19" s="2">
        <v>11</v>
      </c>
      <c r="K19" s="2" t="s">
        <v>21</v>
      </c>
      <c r="L19" s="2" t="s">
        <v>46</v>
      </c>
      <c r="M19" s="2">
        <v>4</v>
      </c>
    </row>
    <row r="20" spans="1:13" x14ac:dyDescent="0.3">
      <c r="A20" s="4">
        <v>18</v>
      </c>
      <c r="B20" s="4" t="s">
        <v>83</v>
      </c>
      <c r="C20" s="4" t="s">
        <v>84</v>
      </c>
      <c r="D20" s="4" t="s">
        <v>59</v>
      </c>
      <c r="E20" s="4" t="s">
        <v>17</v>
      </c>
      <c r="F20" s="4" t="s">
        <v>85</v>
      </c>
      <c r="G20" s="5">
        <v>71000</v>
      </c>
      <c r="H20" s="4" t="s">
        <v>36</v>
      </c>
      <c r="I20" s="4" t="s">
        <v>20</v>
      </c>
      <c r="J20" s="4">
        <v>3</v>
      </c>
      <c r="K20" s="4" t="s">
        <v>21</v>
      </c>
      <c r="L20" s="4" t="s">
        <v>22</v>
      </c>
      <c r="M20" s="4">
        <v>3</v>
      </c>
    </row>
    <row r="21" spans="1:13" x14ac:dyDescent="0.3">
      <c r="A21" s="2">
        <v>19</v>
      </c>
      <c r="B21" s="2" t="s">
        <v>86</v>
      </c>
      <c r="C21" s="2" t="s">
        <v>87</v>
      </c>
      <c r="D21" s="2" t="s">
        <v>59</v>
      </c>
      <c r="E21" s="2" t="s">
        <v>17</v>
      </c>
      <c r="F21" s="2" t="s">
        <v>80</v>
      </c>
      <c r="G21" s="3">
        <v>35000</v>
      </c>
      <c r="H21" s="2" t="s">
        <v>32</v>
      </c>
      <c r="I21" s="2" t="s">
        <v>20</v>
      </c>
      <c r="J21" s="2">
        <v>16</v>
      </c>
      <c r="K21" s="2" t="s">
        <v>27</v>
      </c>
      <c r="L21" s="2" t="s">
        <v>22</v>
      </c>
      <c r="M21" s="2">
        <v>4</v>
      </c>
    </row>
    <row r="22" spans="1:13" x14ac:dyDescent="0.3">
      <c r="A22" s="4">
        <v>20</v>
      </c>
      <c r="B22" s="4" t="s">
        <v>88</v>
      </c>
      <c r="C22" s="4" t="s">
        <v>89</v>
      </c>
      <c r="D22" s="4" t="s">
        <v>90</v>
      </c>
      <c r="E22" s="4" t="s">
        <v>55</v>
      </c>
      <c r="F22" s="4" t="s">
        <v>91</v>
      </c>
      <c r="G22" s="5">
        <v>42000</v>
      </c>
      <c r="H22" s="4" t="s">
        <v>36</v>
      </c>
      <c r="I22" s="4" t="s">
        <v>20</v>
      </c>
      <c r="J22" s="4">
        <v>0</v>
      </c>
      <c r="K22" s="4" t="s">
        <v>21</v>
      </c>
      <c r="L22" s="4" t="s">
        <v>22</v>
      </c>
      <c r="M22" s="4">
        <v>6</v>
      </c>
    </row>
    <row r="23" spans="1:13" x14ac:dyDescent="0.3">
      <c r="A23" s="2">
        <v>21</v>
      </c>
      <c r="B23" s="2" t="s">
        <v>92</v>
      </c>
      <c r="C23" s="2" t="s">
        <v>93</v>
      </c>
      <c r="D23" s="2" t="s">
        <v>30</v>
      </c>
      <c r="E23" s="2" t="s">
        <v>73</v>
      </c>
      <c r="F23" s="2" t="s">
        <v>35</v>
      </c>
      <c r="G23" s="3">
        <v>43000</v>
      </c>
      <c r="H23" s="2" t="s">
        <v>32</v>
      </c>
      <c r="I23" s="2" t="s">
        <v>20</v>
      </c>
      <c r="J23" s="2">
        <v>3</v>
      </c>
      <c r="K23" s="2" t="s">
        <v>21</v>
      </c>
      <c r="L23" s="2" t="s">
        <v>22</v>
      </c>
      <c r="M23" s="2">
        <v>4</v>
      </c>
    </row>
    <row r="24" spans="1:13" x14ac:dyDescent="0.3">
      <c r="A24" s="4">
        <v>22</v>
      </c>
      <c r="B24" s="4" t="s">
        <v>94</v>
      </c>
      <c r="C24" s="4" t="s">
        <v>95</v>
      </c>
      <c r="D24" s="4" t="s">
        <v>16</v>
      </c>
      <c r="E24" s="4" t="s">
        <v>45</v>
      </c>
      <c r="F24" s="4" t="s">
        <v>74</v>
      </c>
      <c r="G24" s="5">
        <v>80000</v>
      </c>
      <c r="H24" s="4" t="s">
        <v>32</v>
      </c>
      <c r="I24" s="4" t="s">
        <v>20</v>
      </c>
      <c r="J24" s="4">
        <v>9</v>
      </c>
      <c r="K24" s="4" t="s">
        <v>27</v>
      </c>
      <c r="L24" s="4" t="s">
        <v>22</v>
      </c>
      <c r="M24" s="4">
        <v>12</v>
      </c>
    </row>
    <row r="25" spans="1:13" x14ac:dyDescent="0.3">
      <c r="A25" s="2">
        <v>23</v>
      </c>
      <c r="B25" s="2" t="s">
        <v>96</v>
      </c>
      <c r="C25" s="2" t="s">
        <v>97</v>
      </c>
      <c r="D25" s="2" t="s">
        <v>90</v>
      </c>
      <c r="E25" s="2" t="s">
        <v>25</v>
      </c>
      <c r="F25" s="2" t="s">
        <v>98</v>
      </c>
      <c r="G25" s="3">
        <v>28000</v>
      </c>
      <c r="H25" s="2" t="s">
        <v>26</v>
      </c>
      <c r="I25" s="2" t="s">
        <v>20</v>
      </c>
      <c r="J25" s="2">
        <v>2</v>
      </c>
      <c r="K25" s="2" t="s">
        <v>27</v>
      </c>
      <c r="L25" s="2" t="s">
        <v>22</v>
      </c>
      <c r="M25" s="2">
        <v>0</v>
      </c>
    </row>
    <row r="26" spans="1:13" x14ac:dyDescent="0.3">
      <c r="A26" s="4">
        <v>24</v>
      </c>
      <c r="B26" s="4" t="s">
        <v>99</v>
      </c>
      <c r="C26" s="4" t="s">
        <v>100</v>
      </c>
      <c r="D26" s="4" t="s">
        <v>101</v>
      </c>
      <c r="E26" s="4" t="s">
        <v>55</v>
      </c>
      <c r="F26" s="4" t="s">
        <v>102</v>
      </c>
      <c r="G26" s="5">
        <v>59000</v>
      </c>
      <c r="H26" s="4" t="s">
        <v>32</v>
      </c>
      <c r="I26" s="4" t="s">
        <v>20</v>
      </c>
      <c r="J26" s="4">
        <v>11</v>
      </c>
      <c r="K26" s="4" t="s">
        <v>21</v>
      </c>
      <c r="L26" s="4" t="s">
        <v>22</v>
      </c>
      <c r="M26" s="4">
        <v>2</v>
      </c>
    </row>
    <row r="27" spans="1:13" x14ac:dyDescent="0.3">
      <c r="A27" s="2">
        <v>25</v>
      </c>
      <c r="B27" s="2" t="s">
        <v>103</v>
      </c>
      <c r="C27" s="2" t="s">
        <v>104</v>
      </c>
      <c r="D27" s="2" t="s">
        <v>90</v>
      </c>
      <c r="E27" s="2" t="s">
        <v>73</v>
      </c>
      <c r="F27" s="2" t="s">
        <v>105</v>
      </c>
      <c r="G27" s="3">
        <v>22000</v>
      </c>
      <c r="H27" s="2" t="s">
        <v>32</v>
      </c>
      <c r="I27" s="2" t="s">
        <v>20</v>
      </c>
      <c r="J27" s="2">
        <v>10</v>
      </c>
      <c r="K27" s="2" t="s">
        <v>21</v>
      </c>
      <c r="L27" s="2" t="s">
        <v>57</v>
      </c>
      <c r="M27" s="2">
        <v>11</v>
      </c>
    </row>
    <row r="28" spans="1:13" x14ac:dyDescent="0.3">
      <c r="A28" s="4">
        <v>26</v>
      </c>
      <c r="B28" s="4" t="s">
        <v>106</v>
      </c>
      <c r="C28" s="4" t="s">
        <v>107</v>
      </c>
      <c r="D28" s="4" t="s">
        <v>49</v>
      </c>
      <c r="E28" s="4" t="s">
        <v>60</v>
      </c>
      <c r="F28" s="4" t="s">
        <v>108</v>
      </c>
      <c r="G28" s="5">
        <v>38000</v>
      </c>
      <c r="H28" s="4" t="s">
        <v>36</v>
      </c>
      <c r="I28" s="4" t="s">
        <v>20</v>
      </c>
      <c r="J28" s="4">
        <v>14</v>
      </c>
      <c r="K28" s="4" t="s">
        <v>27</v>
      </c>
      <c r="L28" s="4" t="s">
        <v>22</v>
      </c>
      <c r="M28" s="4">
        <v>4</v>
      </c>
    </row>
    <row r="29" spans="1:13" x14ac:dyDescent="0.3">
      <c r="A29" s="2">
        <v>27</v>
      </c>
      <c r="B29" s="2" t="s">
        <v>109</v>
      </c>
      <c r="C29" s="2" t="s">
        <v>110</v>
      </c>
      <c r="D29" s="2" t="s">
        <v>49</v>
      </c>
      <c r="E29" s="2" t="s">
        <v>39</v>
      </c>
      <c r="F29" s="2" t="s">
        <v>108</v>
      </c>
      <c r="G29" s="3">
        <v>63000</v>
      </c>
      <c r="H29" s="2" t="s">
        <v>36</v>
      </c>
      <c r="I29" s="2" t="s">
        <v>20</v>
      </c>
      <c r="J29" s="2">
        <v>7</v>
      </c>
      <c r="K29" s="2" t="s">
        <v>27</v>
      </c>
      <c r="L29" s="2" t="s">
        <v>22</v>
      </c>
      <c r="M29" s="2">
        <v>9</v>
      </c>
    </row>
    <row r="30" spans="1:13" x14ac:dyDescent="0.3">
      <c r="A30" s="4">
        <v>28</v>
      </c>
      <c r="B30" s="4" t="s">
        <v>111</v>
      </c>
      <c r="C30" s="4" t="s">
        <v>112</v>
      </c>
      <c r="D30" s="4" t="s">
        <v>90</v>
      </c>
      <c r="E30" s="4" t="s">
        <v>73</v>
      </c>
      <c r="F30" s="4" t="s">
        <v>113</v>
      </c>
      <c r="G30" s="5">
        <v>19000</v>
      </c>
      <c r="H30" s="4" t="s">
        <v>36</v>
      </c>
      <c r="I30" s="4" t="s">
        <v>20</v>
      </c>
      <c r="J30" s="4">
        <v>17</v>
      </c>
      <c r="K30" s="4" t="s">
        <v>27</v>
      </c>
      <c r="L30" s="4" t="s">
        <v>46</v>
      </c>
      <c r="M30" s="4">
        <v>1</v>
      </c>
    </row>
    <row r="31" spans="1:13" x14ac:dyDescent="0.3">
      <c r="A31" s="2">
        <v>29</v>
      </c>
      <c r="B31" s="2" t="s">
        <v>114</v>
      </c>
      <c r="C31" s="2" t="s">
        <v>115</v>
      </c>
      <c r="D31" s="2" t="s">
        <v>59</v>
      </c>
      <c r="E31" s="2" t="s">
        <v>17</v>
      </c>
      <c r="F31" s="2" t="s">
        <v>61</v>
      </c>
      <c r="G31" s="3">
        <v>71000</v>
      </c>
      <c r="H31" s="2" t="s">
        <v>32</v>
      </c>
      <c r="I31" s="2" t="s">
        <v>20</v>
      </c>
      <c r="J31" s="2">
        <v>10</v>
      </c>
      <c r="K31" s="2" t="s">
        <v>27</v>
      </c>
      <c r="L31" s="2" t="s">
        <v>22</v>
      </c>
      <c r="M31" s="2">
        <v>8</v>
      </c>
    </row>
    <row r="32" spans="1:13" x14ac:dyDescent="0.3">
      <c r="A32" s="4">
        <v>30</v>
      </c>
      <c r="B32" s="4" t="s">
        <v>116</v>
      </c>
      <c r="C32" s="4" t="s">
        <v>117</v>
      </c>
      <c r="D32" s="4" t="s">
        <v>30</v>
      </c>
      <c r="E32" s="4" t="s">
        <v>39</v>
      </c>
      <c r="F32" s="4" t="s">
        <v>118</v>
      </c>
      <c r="G32" s="5">
        <v>41000</v>
      </c>
      <c r="H32" s="4" t="s">
        <v>36</v>
      </c>
      <c r="I32" s="4" t="s">
        <v>20</v>
      </c>
      <c r="J32" s="4">
        <v>16</v>
      </c>
      <c r="K32" s="4" t="s">
        <v>21</v>
      </c>
      <c r="L32" s="4" t="s">
        <v>22</v>
      </c>
      <c r="M32" s="4">
        <v>2</v>
      </c>
    </row>
    <row r="33" spans="1:13" x14ac:dyDescent="0.3">
      <c r="A33" s="2">
        <v>31</v>
      </c>
      <c r="B33" s="2" t="s">
        <v>119</v>
      </c>
      <c r="C33" s="2" t="s">
        <v>120</v>
      </c>
      <c r="D33" s="2" t="s">
        <v>66</v>
      </c>
      <c r="E33" s="2" t="s">
        <v>39</v>
      </c>
      <c r="F33" s="2" t="s">
        <v>121</v>
      </c>
      <c r="G33" s="3">
        <v>98000</v>
      </c>
      <c r="H33" s="2" t="s">
        <v>19</v>
      </c>
      <c r="I33" s="2" t="s">
        <v>20</v>
      </c>
      <c r="J33" s="2">
        <v>14</v>
      </c>
      <c r="K33" s="2" t="s">
        <v>27</v>
      </c>
      <c r="L33" s="2" t="s">
        <v>22</v>
      </c>
      <c r="M33" s="2">
        <v>12</v>
      </c>
    </row>
    <row r="34" spans="1:13" x14ac:dyDescent="0.3">
      <c r="A34" s="4">
        <v>32</v>
      </c>
      <c r="B34" s="4" t="s">
        <v>122</v>
      </c>
      <c r="C34" s="4" t="s">
        <v>123</v>
      </c>
      <c r="D34" s="4" t="s">
        <v>30</v>
      </c>
      <c r="E34" s="4" t="s">
        <v>39</v>
      </c>
      <c r="F34" s="4" t="s">
        <v>118</v>
      </c>
      <c r="G34" s="5">
        <v>50000</v>
      </c>
      <c r="H34" s="4" t="s">
        <v>36</v>
      </c>
      <c r="I34" s="4" t="s">
        <v>20</v>
      </c>
      <c r="J34" s="4">
        <v>8</v>
      </c>
      <c r="K34" s="4" t="s">
        <v>21</v>
      </c>
      <c r="L34" s="4" t="s">
        <v>22</v>
      </c>
      <c r="M34" s="4">
        <v>5</v>
      </c>
    </row>
    <row r="35" spans="1:13" x14ac:dyDescent="0.3">
      <c r="A35" s="2">
        <v>33</v>
      </c>
      <c r="B35" s="2" t="s">
        <v>124</v>
      </c>
      <c r="C35" s="2" t="s">
        <v>125</v>
      </c>
      <c r="D35" s="2" t="s">
        <v>101</v>
      </c>
      <c r="E35" s="2" t="s">
        <v>55</v>
      </c>
      <c r="F35" s="2" t="s">
        <v>126</v>
      </c>
      <c r="G35" s="3">
        <v>86000</v>
      </c>
      <c r="H35" s="2" t="s">
        <v>19</v>
      </c>
      <c r="I35" s="2" t="s">
        <v>20</v>
      </c>
      <c r="J35" s="2">
        <v>12</v>
      </c>
      <c r="K35" s="2" t="s">
        <v>27</v>
      </c>
      <c r="L35" s="2" t="s">
        <v>22</v>
      </c>
      <c r="M35" s="2">
        <v>7</v>
      </c>
    </row>
    <row r="36" spans="1:13" x14ac:dyDescent="0.3">
      <c r="A36" s="4">
        <v>34</v>
      </c>
      <c r="B36" s="4" t="s">
        <v>127</v>
      </c>
      <c r="C36" s="4" t="s">
        <v>128</v>
      </c>
      <c r="D36" s="4" t="s">
        <v>49</v>
      </c>
      <c r="E36" s="4" t="s">
        <v>17</v>
      </c>
      <c r="F36" s="4" t="s">
        <v>51</v>
      </c>
      <c r="G36" s="5">
        <v>21000</v>
      </c>
      <c r="H36" s="4" t="s">
        <v>36</v>
      </c>
      <c r="I36" s="4" t="s">
        <v>20</v>
      </c>
      <c r="J36" s="4">
        <v>6</v>
      </c>
      <c r="K36" s="4" t="s">
        <v>21</v>
      </c>
      <c r="L36" s="4" t="s">
        <v>46</v>
      </c>
      <c r="M36" s="4">
        <v>3</v>
      </c>
    </row>
    <row r="37" spans="1:13" x14ac:dyDescent="0.3">
      <c r="A37" s="2">
        <v>35</v>
      </c>
      <c r="B37" s="2" t="s">
        <v>129</v>
      </c>
      <c r="C37" s="2" t="s">
        <v>130</v>
      </c>
      <c r="D37" s="2" t="s">
        <v>90</v>
      </c>
      <c r="E37" s="2" t="s">
        <v>55</v>
      </c>
      <c r="F37" s="2" t="s">
        <v>105</v>
      </c>
      <c r="G37" s="3">
        <v>52000</v>
      </c>
      <c r="H37" s="2" t="s">
        <v>36</v>
      </c>
      <c r="I37" s="2" t="s">
        <v>20</v>
      </c>
      <c r="J37" s="2">
        <v>15</v>
      </c>
      <c r="K37" s="2" t="s">
        <v>21</v>
      </c>
      <c r="L37" s="2" t="s">
        <v>22</v>
      </c>
      <c r="M37" s="2">
        <v>0</v>
      </c>
    </row>
    <row r="38" spans="1:13" x14ac:dyDescent="0.3">
      <c r="A38" s="4">
        <v>36</v>
      </c>
      <c r="B38" s="4" t="s">
        <v>131</v>
      </c>
      <c r="C38" s="4" t="s">
        <v>132</v>
      </c>
      <c r="D38" s="4" t="s">
        <v>90</v>
      </c>
      <c r="E38" s="4" t="s">
        <v>25</v>
      </c>
      <c r="F38" s="4" t="s">
        <v>105</v>
      </c>
      <c r="G38" s="5">
        <v>47000</v>
      </c>
      <c r="H38" s="4" t="s">
        <v>36</v>
      </c>
      <c r="I38" s="4" t="s">
        <v>20</v>
      </c>
      <c r="J38" s="4">
        <v>14</v>
      </c>
      <c r="K38" s="4" t="s">
        <v>27</v>
      </c>
      <c r="L38" s="4" t="s">
        <v>22</v>
      </c>
      <c r="M38" s="4">
        <v>5</v>
      </c>
    </row>
    <row r="39" spans="1:13" x14ac:dyDescent="0.3">
      <c r="A39" s="2">
        <v>37</v>
      </c>
      <c r="B39" s="2" t="s">
        <v>133</v>
      </c>
      <c r="C39" s="2" t="s">
        <v>134</v>
      </c>
      <c r="D39" s="2" t="s">
        <v>49</v>
      </c>
      <c r="E39" s="2" t="s">
        <v>73</v>
      </c>
      <c r="F39" s="2" t="s">
        <v>108</v>
      </c>
      <c r="G39" s="3">
        <v>63000</v>
      </c>
      <c r="H39" s="2" t="s">
        <v>26</v>
      </c>
      <c r="I39" s="2" t="s">
        <v>20</v>
      </c>
      <c r="J39" s="2">
        <v>14</v>
      </c>
      <c r="K39" s="2" t="s">
        <v>21</v>
      </c>
      <c r="L39" s="2" t="s">
        <v>22</v>
      </c>
      <c r="M39" s="2">
        <v>0</v>
      </c>
    </row>
    <row r="40" spans="1:13" x14ac:dyDescent="0.3">
      <c r="A40" s="4">
        <v>38</v>
      </c>
      <c r="B40" s="4" t="s">
        <v>135</v>
      </c>
      <c r="C40" s="4" t="s">
        <v>136</v>
      </c>
      <c r="D40" s="4" t="s">
        <v>16</v>
      </c>
      <c r="E40" s="4" t="s">
        <v>17</v>
      </c>
      <c r="F40" s="4" t="s">
        <v>42</v>
      </c>
      <c r="G40" s="5">
        <v>60000</v>
      </c>
      <c r="H40" s="4" t="s">
        <v>19</v>
      </c>
      <c r="I40" s="4" t="s">
        <v>20</v>
      </c>
      <c r="J40" s="4">
        <v>4</v>
      </c>
      <c r="K40" s="4" t="s">
        <v>27</v>
      </c>
      <c r="L40" s="4" t="s">
        <v>22</v>
      </c>
      <c r="M40" s="4">
        <v>7</v>
      </c>
    </row>
    <row r="41" spans="1:13" x14ac:dyDescent="0.3">
      <c r="A41" s="2">
        <v>39</v>
      </c>
      <c r="B41" s="2" t="s">
        <v>137</v>
      </c>
      <c r="C41" s="2" t="s">
        <v>138</v>
      </c>
      <c r="D41" s="2" t="s">
        <v>54</v>
      </c>
      <c r="E41" s="2" t="s">
        <v>17</v>
      </c>
      <c r="F41" s="2" t="s">
        <v>56</v>
      </c>
      <c r="G41" s="3">
        <v>36000</v>
      </c>
      <c r="H41" s="2" t="s">
        <v>36</v>
      </c>
      <c r="I41" s="2" t="s">
        <v>20</v>
      </c>
      <c r="J41" s="2">
        <v>0</v>
      </c>
      <c r="K41" s="2" t="s">
        <v>27</v>
      </c>
      <c r="L41" s="2" t="s">
        <v>22</v>
      </c>
      <c r="M41" s="2">
        <v>8</v>
      </c>
    </row>
    <row r="42" spans="1:13" x14ac:dyDescent="0.3">
      <c r="A42" s="4">
        <v>40</v>
      </c>
      <c r="B42" s="4" t="s">
        <v>139</v>
      </c>
      <c r="C42" s="4" t="s">
        <v>140</v>
      </c>
      <c r="D42" s="4" t="s">
        <v>49</v>
      </c>
      <c r="E42" s="4" t="s">
        <v>55</v>
      </c>
      <c r="F42" s="4" t="s">
        <v>70</v>
      </c>
      <c r="G42" s="5">
        <v>51000</v>
      </c>
      <c r="H42" s="4" t="s">
        <v>19</v>
      </c>
      <c r="I42" s="4" t="s">
        <v>20</v>
      </c>
      <c r="J42" s="4">
        <v>15</v>
      </c>
      <c r="K42" s="4" t="s">
        <v>21</v>
      </c>
      <c r="L42" s="4" t="s">
        <v>22</v>
      </c>
      <c r="M42" s="4">
        <v>1</v>
      </c>
    </row>
    <row r="43" spans="1:13" x14ac:dyDescent="0.3">
      <c r="A43" s="2">
        <v>41</v>
      </c>
      <c r="B43" s="2" t="s">
        <v>141</v>
      </c>
      <c r="C43" s="2" t="s">
        <v>142</v>
      </c>
      <c r="D43" s="2" t="s">
        <v>16</v>
      </c>
      <c r="E43" s="2" t="s">
        <v>45</v>
      </c>
      <c r="F43" s="2" t="s">
        <v>18</v>
      </c>
      <c r="G43" s="3">
        <v>67000</v>
      </c>
      <c r="H43" s="2" t="s">
        <v>19</v>
      </c>
      <c r="I43" s="2" t="s">
        <v>20</v>
      </c>
      <c r="J43" s="2">
        <v>12</v>
      </c>
      <c r="K43" s="2" t="s">
        <v>21</v>
      </c>
      <c r="L43" s="2" t="s">
        <v>22</v>
      </c>
      <c r="M43" s="2">
        <v>8</v>
      </c>
    </row>
    <row r="44" spans="1:13" x14ac:dyDescent="0.3">
      <c r="A44" s="4">
        <v>42</v>
      </c>
      <c r="B44" s="4" t="s">
        <v>143</v>
      </c>
      <c r="C44" s="4" t="s">
        <v>144</v>
      </c>
      <c r="D44" s="4" t="s">
        <v>90</v>
      </c>
      <c r="E44" s="4" t="s">
        <v>17</v>
      </c>
      <c r="F44" s="4" t="s">
        <v>113</v>
      </c>
      <c r="G44" s="5">
        <v>34000</v>
      </c>
      <c r="H44" s="4" t="s">
        <v>32</v>
      </c>
      <c r="I44" s="4" t="s">
        <v>20</v>
      </c>
      <c r="J44" s="4">
        <v>14</v>
      </c>
      <c r="K44" s="4" t="s">
        <v>21</v>
      </c>
      <c r="L44" s="4" t="s">
        <v>57</v>
      </c>
      <c r="M44" s="4">
        <v>8</v>
      </c>
    </row>
    <row r="45" spans="1:13" x14ac:dyDescent="0.3">
      <c r="A45" s="2">
        <v>43</v>
      </c>
      <c r="B45" s="2" t="s">
        <v>145</v>
      </c>
      <c r="C45" s="2" t="s">
        <v>146</v>
      </c>
      <c r="D45" s="2" t="s">
        <v>101</v>
      </c>
      <c r="E45" s="2" t="s">
        <v>39</v>
      </c>
      <c r="F45" s="2" t="s">
        <v>147</v>
      </c>
      <c r="G45" s="3">
        <v>62000</v>
      </c>
      <c r="H45" s="2" t="s">
        <v>36</v>
      </c>
      <c r="I45" s="2" t="s">
        <v>148</v>
      </c>
      <c r="J45" s="2">
        <v>2</v>
      </c>
      <c r="K45" s="2" t="s">
        <v>27</v>
      </c>
      <c r="L45" s="2" t="s">
        <v>22</v>
      </c>
      <c r="M45" s="2">
        <v>5</v>
      </c>
    </row>
    <row r="46" spans="1:13" x14ac:dyDescent="0.3">
      <c r="A46" s="4">
        <v>44</v>
      </c>
      <c r="B46" s="4" t="s">
        <v>149</v>
      </c>
      <c r="C46" s="4" t="s">
        <v>150</v>
      </c>
      <c r="D46" s="4" t="s">
        <v>49</v>
      </c>
      <c r="E46" s="4" t="s">
        <v>45</v>
      </c>
      <c r="F46" s="4" t="s">
        <v>108</v>
      </c>
      <c r="G46" s="5">
        <v>28000</v>
      </c>
      <c r="H46" s="4" t="s">
        <v>26</v>
      </c>
      <c r="I46" s="4" t="s">
        <v>148</v>
      </c>
      <c r="J46" s="4">
        <v>14</v>
      </c>
      <c r="K46" s="4" t="s">
        <v>27</v>
      </c>
      <c r="L46" s="4" t="s">
        <v>22</v>
      </c>
      <c r="M46" s="4">
        <v>5</v>
      </c>
    </row>
    <row r="47" spans="1:13" x14ac:dyDescent="0.3">
      <c r="A47" s="2">
        <v>45</v>
      </c>
      <c r="B47" s="2" t="s">
        <v>151</v>
      </c>
      <c r="C47" s="2" t="s">
        <v>152</v>
      </c>
      <c r="D47" s="2" t="s">
        <v>66</v>
      </c>
      <c r="E47" s="2" t="s">
        <v>25</v>
      </c>
      <c r="F47" s="2" t="s">
        <v>153</v>
      </c>
      <c r="G47" s="3">
        <v>72000</v>
      </c>
      <c r="H47" s="2" t="s">
        <v>32</v>
      </c>
      <c r="I47" s="2" t="s">
        <v>148</v>
      </c>
      <c r="J47" s="2">
        <v>4</v>
      </c>
      <c r="K47" s="2" t="s">
        <v>27</v>
      </c>
      <c r="L47" s="2" t="s">
        <v>57</v>
      </c>
      <c r="M47" s="2">
        <v>4</v>
      </c>
    </row>
    <row r="48" spans="1:13" x14ac:dyDescent="0.3">
      <c r="A48" s="4">
        <v>46</v>
      </c>
      <c r="B48" s="4" t="s">
        <v>154</v>
      </c>
      <c r="C48" s="4" t="s">
        <v>155</v>
      </c>
      <c r="D48" s="4" t="s">
        <v>90</v>
      </c>
      <c r="E48" s="4" t="s">
        <v>39</v>
      </c>
      <c r="F48" s="4" t="s">
        <v>105</v>
      </c>
      <c r="G48" s="5">
        <v>32000</v>
      </c>
      <c r="H48" s="4" t="s">
        <v>26</v>
      </c>
      <c r="I48" s="4" t="s">
        <v>148</v>
      </c>
      <c r="J48" s="4">
        <v>16</v>
      </c>
      <c r="K48" s="4" t="s">
        <v>21</v>
      </c>
      <c r="L48" s="4" t="s">
        <v>22</v>
      </c>
      <c r="M48" s="4">
        <v>11</v>
      </c>
    </row>
    <row r="49" spans="1:13" x14ac:dyDescent="0.3">
      <c r="A49" s="2">
        <v>47</v>
      </c>
      <c r="B49" s="2" t="s">
        <v>156</v>
      </c>
      <c r="C49" s="2" t="s">
        <v>157</v>
      </c>
      <c r="D49" s="2" t="s">
        <v>54</v>
      </c>
      <c r="E49" s="2" t="s">
        <v>73</v>
      </c>
      <c r="F49" s="2" t="s">
        <v>158</v>
      </c>
      <c r="G49" s="3">
        <v>37000</v>
      </c>
      <c r="H49" s="2" t="s">
        <v>36</v>
      </c>
      <c r="I49" s="2" t="s">
        <v>148</v>
      </c>
      <c r="J49" s="2">
        <v>5</v>
      </c>
      <c r="K49" s="2" t="s">
        <v>21</v>
      </c>
      <c r="L49" s="2" t="s">
        <v>22</v>
      </c>
      <c r="M49" s="2">
        <v>7</v>
      </c>
    </row>
    <row r="50" spans="1:13" x14ac:dyDescent="0.3">
      <c r="A50" s="4">
        <v>48</v>
      </c>
      <c r="B50" s="4" t="s">
        <v>159</v>
      </c>
      <c r="C50" s="4" t="s">
        <v>160</v>
      </c>
      <c r="D50" s="4" t="s">
        <v>30</v>
      </c>
      <c r="E50" s="4" t="s">
        <v>50</v>
      </c>
      <c r="F50" s="4" t="s">
        <v>35</v>
      </c>
      <c r="G50" s="5">
        <v>28000</v>
      </c>
      <c r="H50" s="4" t="s">
        <v>161</v>
      </c>
      <c r="I50" s="4" t="s">
        <v>148</v>
      </c>
      <c r="J50" s="4">
        <v>3</v>
      </c>
      <c r="K50" s="4" t="s">
        <v>27</v>
      </c>
      <c r="L50" s="4" t="s">
        <v>22</v>
      </c>
      <c r="M50" s="4">
        <v>5</v>
      </c>
    </row>
    <row r="51" spans="1:13" x14ac:dyDescent="0.3">
      <c r="A51" s="2">
        <v>49</v>
      </c>
      <c r="B51" s="2" t="s">
        <v>162</v>
      </c>
      <c r="C51" s="2" t="s">
        <v>163</v>
      </c>
      <c r="D51" s="2" t="s">
        <v>90</v>
      </c>
      <c r="E51" s="2" t="s">
        <v>60</v>
      </c>
      <c r="F51" s="2" t="s">
        <v>105</v>
      </c>
      <c r="G51" s="3">
        <v>30000</v>
      </c>
      <c r="H51" s="2" t="s">
        <v>19</v>
      </c>
      <c r="I51" s="2" t="s">
        <v>148</v>
      </c>
      <c r="J51" s="2">
        <v>12</v>
      </c>
      <c r="K51" s="2" t="s">
        <v>21</v>
      </c>
      <c r="L51" s="2" t="s">
        <v>22</v>
      </c>
      <c r="M51" s="2">
        <v>7</v>
      </c>
    </row>
    <row r="52" spans="1:13" x14ac:dyDescent="0.3">
      <c r="A52" s="4">
        <v>50</v>
      </c>
      <c r="B52" s="4" t="s">
        <v>164</v>
      </c>
      <c r="C52" s="4" t="s">
        <v>165</v>
      </c>
      <c r="D52" s="4" t="s">
        <v>30</v>
      </c>
      <c r="E52" s="4" t="s">
        <v>50</v>
      </c>
      <c r="F52" s="4" t="s">
        <v>77</v>
      </c>
      <c r="G52" s="5">
        <v>32000</v>
      </c>
      <c r="H52" s="4" t="s">
        <v>26</v>
      </c>
      <c r="I52" s="4" t="s">
        <v>148</v>
      </c>
      <c r="J52" s="4">
        <v>3</v>
      </c>
      <c r="K52" s="4" t="s">
        <v>27</v>
      </c>
      <c r="L52" s="4" t="s">
        <v>57</v>
      </c>
      <c r="M52" s="4">
        <v>5</v>
      </c>
    </row>
    <row r="53" spans="1:13" x14ac:dyDescent="0.3">
      <c r="A53" s="2">
        <v>51</v>
      </c>
      <c r="B53" s="2" t="s">
        <v>166</v>
      </c>
      <c r="C53" s="2" t="s">
        <v>167</v>
      </c>
      <c r="D53" s="2" t="s">
        <v>90</v>
      </c>
      <c r="E53" s="2" t="s">
        <v>50</v>
      </c>
      <c r="F53" s="2" t="s">
        <v>105</v>
      </c>
      <c r="G53" s="3">
        <v>20000</v>
      </c>
      <c r="H53" s="2" t="s">
        <v>36</v>
      </c>
      <c r="I53" s="2" t="s">
        <v>148</v>
      </c>
      <c r="J53" s="2">
        <v>7</v>
      </c>
      <c r="K53" s="2" t="s">
        <v>27</v>
      </c>
      <c r="L53" s="2" t="s">
        <v>22</v>
      </c>
      <c r="M53" s="2">
        <v>5</v>
      </c>
    </row>
    <row r="54" spans="1:13" x14ac:dyDescent="0.3">
      <c r="A54" s="4">
        <v>52</v>
      </c>
      <c r="B54" s="4" t="s">
        <v>168</v>
      </c>
      <c r="C54" s="4" t="s">
        <v>169</v>
      </c>
      <c r="D54" s="4" t="s">
        <v>59</v>
      </c>
      <c r="E54" s="4" t="s">
        <v>17</v>
      </c>
      <c r="F54" s="4" t="s">
        <v>80</v>
      </c>
      <c r="G54" s="5">
        <v>30000</v>
      </c>
      <c r="H54" s="4" t="s">
        <v>36</v>
      </c>
      <c r="I54" s="4" t="s">
        <v>148</v>
      </c>
      <c r="J54" s="4">
        <v>8</v>
      </c>
      <c r="K54" s="4" t="s">
        <v>27</v>
      </c>
      <c r="L54" s="4" t="s">
        <v>22</v>
      </c>
      <c r="M54" s="4">
        <v>8</v>
      </c>
    </row>
    <row r="55" spans="1:13" x14ac:dyDescent="0.3">
      <c r="A55" s="2">
        <v>53</v>
      </c>
      <c r="B55" s="2" t="s">
        <v>170</v>
      </c>
      <c r="C55" s="2" t="s">
        <v>171</v>
      </c>
      <c r="D55" s="2" t="s">
        <v>101</v>
      </c>
      <c r="E55" s="2" t="s">
        <v>50</v>
      </c>
      <c r="F55" s="2" t="s">
        <v>102</v>
      </c>
      <c r="G55" s="3">
        <v>64000</v>
      </c>
      <c r="H55" s="2" t="s">
        <v>161</v>
      </c>
      <c r="I55" s="2" t="s">
        <v>148</v>
      </c>
      <c r="J55" s="2">
        <v>12</v>
      </c>
      <c r="K55" s="2" t="s">
        <v>27</v>
      </c>
      <c r="L55" s="2" t="s">
        <v>22</v>
      </c>
      <c r="M55" s="2">
        <v>9</v>
      </c>
    </row>
    <row r="56" spans="1:13" x14ac:dyDescent="0.3">
      <c r="A56" s="4">
        <v>54</v>
      </c>
      <c r="B56" s="4" t="s">
        <v>172</v>
      </c>
      <c r="C56" s="4" t="s">
        <v>173</v>
      </c>
      <c r="D56" s="4" t="s">
        <v>101</v>
      </c>
      <c r="E56" s="4" t="s">
        <v>25</v>
      </c>
      <c r="F56" s="4" t="s">
        <v>102</v>
      </c>
      <c r="G56" s="5">
        <v>142000</v>
      </c>
      <c r="H56" s="4" t="s">
        <v>19</v>
      </c>
      <c r="I56" s="4" t="s">
        <v>148</v>
      </c>
      <c r="J56" s="4">
        <v>5</v>
      </c>
      <c r="K56" s="4" t="s">
        <v>21</v>
      </c>
      <c r="L56" s="4" t="s">
        <v>46</v>
      </c>
      <c r="M56" s="4">
        <v>8</v>
      </c>
    </row>
    <row r="57" spans="1:13" x14ac:dyDescent="0.3">
      <c r="A57" s="2">
        <v>55</v>
      </c>
      <c r="B57" s="2" t="s">
        <v>174</v>
      </c>
      <c r="C57" s="2" t="s">
        <v>97</v>
      </c>
      <c r="D57" s="2" t="s">
        <v>101</v>
      </c>
      <c r="E57" s="2" t="s">
        <v>25</v>
      </c>
      <c r="F57" s="2" t="s">
        <v>126</v>
      </c>
      <c r="G57" s="3">
        <v>50000</v>
      </c>
      <c r="H57" s="2" t="s">
        <v>26</v>
      </c>
      <c r="I57" s="2" t="s">
        <v>148</v>
      </c>
      <c r="J57" s="2">
        <v>16</v>
      </c>
      <c r="K57" s="2" t="s">
        <v>27</v>
      </c>
      <c r="L57" s="2" t="s">
        <v>22</v>
      </c>
      <c r="M57" s="2">
        <v>6</v>
      </c>
    </row>
    <row r="58" spans="1:13" x14ac:dyDescent="0.3">
      <c r="A58" s="4">
        <v>56</v>
      </c>
      <c r="B58" s="4" t="s">
        <v>175</v>
      </c>
      <c r="C58" s="4" t="s">
        <v>176</v>
      </c>
      <c r="D58" s="4" t="s">
        <v>59</v>
      </c>
      <c r="E58" s="4" t="s">
        <v>45</v>
      </c>
      <c r="F58" s="4" t="s">
        <v>85</v>
      </c>
      <c r="G58" s="5">
        <v>66000</v>
      </c>
      <c r="H58" s="4" t="s">
        <v>32</v>
      </c>
      <c r="I58" s="4" t="s">
        <v>148</v>
      </c>
      <c r="J58" s="4">
        <v>0</v>
      </c>
      <c r="K58" s="4" t="s">
        <v>27</v>
      </c>
      <c r="L58" s="4" t="s">
        <v>46</v>
      </c>
      <c r="M58" s="4">
        <v>10</v>
      </c>
    </row>
    <row r="59" spans="1:13" x14ac:dyDescent="0.3">
      <c r="A59" s="2">
        <v>57</v>
      </c>
      <c r="B59" s="2" t="s">
        <v>177</v>
      </c>
      <c r="C59" s="2" t="s">
        <v>178</v>
      </c>
      <c r="D59" s="2" t="s">
        <v>49</v>
      </c>
      <c r="E59" s="2" t="s">
        <v>60</v>
      </c>
      <c r="F59" s="2" t="s">
        <v>108</v>
      </c>
      <c r="G59" s="3">
        <v>35000</v>
      </c>
      <c r="H59" s="2" t="s">
        <v>32</v>
      </c>
      <c r="I59" s="2" t="s">
        <v>148</v>
      </c>
      <c r="J59" s="2">
        <v>4</v>
      </c>
      <c r="K59" s="2" t="s">
        <v>21</v>
      </c>
      <c r="L59" s="2" t="s">
        <v>22</v>
      </c>
      <c r="M59" s="2">
        <v>2</v>
      </c>
    </row>
    <row r="60" spans="1:13" x14ac:dyDescent="0.3">
      <c r="A60" s="4">
        <v>58</v>
      </c>
      <c r="B60" s="4" t="s">
        <v>179</v>
      </c>
      <c r="C60" s="4" t="s">
        <v>180</v>
      </c>
      <c r="D60" s="4" t="s">
        <v>59</v>
      </c>
      <c r="E60" s="4" t="s">
        <v>60</v>
      </c>
      <c r="F60" s="4" t="s">
        <v>80</v>
      </c>
      <c r="G60" s="5">
        <v>91000</v>
      </c>
      <c r="H60" s="4" t="s">
        <v>26</v>
      </c>
      <c r="I60" s="4" t="s">
        <v>148</v>
      </c>
      <c r="J60" s="4">
        <v>16</v>
      </c>
      <c r="K60" s="4" t="s">
        <v>27</v>
      </c>
      <c r="L60" s="4" t="s">
        <v>57</v>
      </c>
      <c r="M60" s="4">
        <v>2</v>
      </c>
    </row>
    <row r="61" spans="1:13" x14ac:dyDescent="0.3">
      <c r="A61" s="2">
        <v>59</v>
      </c>
      <c r="B61" s="2" t="s">
        <v>181</v>
      </c>
      <c r="C61" s="2" t="s">
        <v>182</v>
      </c>
      <c r="D61" s="2" t="s">
        <v>59</v>
      </c>
      <c r="E61" s="2" t="s">
        <v>17</v>
      </c>
      <c r="F61" s="2" t="s">
        <v>85</v>
      </c>
      <c r="G61" s="3">
        <v>53000</v>
      </c>
      <c r="H61" s="2" t="s">
        <v>32</v>
      </c>
      <c r="I61" s="2" t="s">
        <v>148</v>
      </c>
      <c r="J61" s="2">
        <v>6</v>
      </c>
      <c r="K61" s="2" t="s">
        <v>27</v>
      </c>
      <c r="L61" s="2" t="s">
        <v>57</v>
      </c>
      <c r="M61" s="2">
        <v>10</v>
      </c>
    </row>
    <row r="62" spans="1:13" x14ac:dyDescent="0.3">
      <c r="A62" s="4">
        <v>60</v>
      </c>
      <c r="B62" s="4" t="s">
        <v>183</v>
      </c>
      <c r="C62" s="4" t="s">
        <v>184</v>
      </c>
      <c r="D62" s="4" t="s">
        <v>90</v>
      </c>
      <c r="E62" s="4" t="s">
        <v>17</v>
      </c>
      <c r="F62" s="4" t="s">
        <v>113</v>
      </c>
      <c r="G62" s="5">
        <v>24000</v>
      </c>
      <c r="H62" s="4" t="s">
        <v>19</v>
      </c>
      <c r="I62" s="4" t="s">
        <v>148</v>
      </c>
      <c r="J62" s="4">
        <v>6</v>
      </c>
      <c r="K62" s="4" t="s">
        <v>27</v>
      </c>
      <c r="L62" s="4" t="s">
        <v>46</v>
      </c>
      <c r="M62" s="4">
        <v>3</v>
      </c>
    </row>
    <row r="63" spans="1:13" x14ac:dyDescent="0.3">
      <c r="A63" s="2">
        <v>61</v>
      </c>
      <c r="B63" s="2" t="s">
        <v>185</v>
      </c>
      <c r="C63" s="2" t="s">
        <v>186</v>
      </c>
      <c r="D63" s="2" t="s">
        <v>90</v>
      </c>
      <c r="E63" s="2" t="s">
        <v>17</v>
      </c>
      <c r="F63" s="2" t="s">
        <v>98</v>
      </c>
      <c r="G63" s="3">
        <v>23000</v>
      </c>
      <c r="H63" s="2" t="s">
        <v>36</v>
      </c>
      <c r="I63" s="2" t="s">
        <v>148</v>
      </c>
      <c r="J63" s="2">
        <v>9</v>
      </c>
      <c r="K63" s="2" t="s">
        <v>21</v>
      </c>
      <c r="L63" s="2" t="s">
        <v>22</v>
      </c>
      <c r="M63" s="2">
        <v>7</v>
      </c>
    </row>
    <row r="64" spans="1:13" x14ac:dyDescent="0.3">
      <c r="A64" s="4">
        <v>62</v>
      </c>
      <c r="B64" s="4" t="s">
        <v>187</v>
      </c>
      <c r="C64" s="4" t="s">
        <v>188</v>
      </c>
      <c r="D64" s="4" t="s">
        <v>49</v>
      </c>
      <c r="E64" s="4" t="s">
        <v>45</v>
      </c>
      <c r="F64" s="4" t="s">
        <v>189</v>
      </c>
      <c r="G64" s="5">
        <v>46000</v>
      </c>
      <c r="H64" s="4" t="s">
        <v>19</v>
      </c>
      <c r="I64" s="4" t="s">
        <v>148</v>
      </c>
      <c r="J64" s="4">
        <v>17</v>
      </c>
      <c r="K64" s="4" t="s">
        <v>21</v>
      </c>
      <c r="L64" s="4" t="s">
        <v>22</v>
      </c>
      <c r="M64" s="4">
        <v>9</v>
      </c>
    </row>
    <row r="65" spans="1:13" x14ac:dyDescent="0.3">
      <c r="A65" s="2">
        <v>63</v>
      </c>
      <c r="B65" s="2" t="s">
        <v>190</v>
      </c>
      <c r="C65" s="2" t="s">
        <v>191</v>
      </c>
      <c r="D65" s="2" t="s">
        <v>66</v>
      </c>
      <c r="E65" s="2" t="s">
        <v>55</v>
      </c>
      <c r="F65" s="2" t="s">
        <v>153</v>
      </c>
      <c r="G65" s="3">
        <v>75000</v>
      </c>
      <c r="H65" s="2" t="s">
        <v>36</v>
      </c>
      <c r="I65" s="2" t="s">
        <v>148</v>
      </c>
      <c r="J65" s="2">
        <v>4</v>
      </c>
      <c r="K65" s="2" t="s">
        <v>27</v>
      </c>
      <c r="L65" s="2" t="s">
        <v>22</v>
      </c>
      <c r="M65" s="2">
        <v>11</v>
      </c>
    </row>
    <row r="66" spans="1:13" x14ac:dyDescent="0.3">
      <c r="A66" s="4">
        <v>64</v>
      </c>
      <c r="B66" s="4" t="s">
        <v>192</v>
      </c>
      <c r="C66" s="4" t="s">
        <v>193</v>
      </c>
      <c r="D66" s="4" t="s">
        <v>59</v>
      </c>
      <c r="E66" s="4" t="s">
        <v>55</v>
      </c>
      <c r="F66" s="4" t="s">
        <v>80</v>
      </c>
      <c r="G66" s="5">
        <v>62000</v>
      </c>
      <c r="H66" s="4" t="s">
        <v>32</v>
      </c>
      <c r="I66" s="4" t="s">
        <v>148</v>
      </c>
      <c r="J66" s="4">
        <v>6</v>
      </c>
      <c r="K66" s="4" t="s">
        <v>21</v>
      </c>
      <c r="L66" s="4" t="s">
        <v>22</v>
      </c>
      <c r="M66" s="4">
        <v>10</v>
      </c>
    </row>
    <row r="67" spans="1:13" x14ac:dyDescent="0.3">
      <c r="A67" s="2">
        <v>65</v>
      </c>
      <c r="B67" s="2" t="s">
        <v>194</v>
      </c>
      <c r="C67" s="2" t="s">
        <v>195</v>
      </c>
      <c r="D67" s="2" t="s">
        <v>30</v>
      </c>
      <c r="E67" s="2" t="s">
        <v>73</v>
      </c>
      <c r="F67" s="2" t="s">
        <v>35</v>
      </c>
      <c r="G67" s="3">
        <v>60000</v>
      </c>
      <c r="H67" s="2" t="s">
        <v>36</v>
      </c>
      <c r="I67" s="2" t="s">
        <v>148</v>
      </c>
      <c r="J67" s="2">
        <v>6</v>
      </c>
      <c r="K67" s="2" t="s">
        <v>27</v>
      </c>
      <c r="L67" s="2" t="s">
        <v>22</v>
      </c>
      <c r="M67" s="2">
        <v>11</v>
      </c>
    </row>
    <row r="68" spans="1:13" x14ac:dyDescent="0.3">
      <c r="A68" s="4">
        <v>66</v>
      </c>
      <c r="B68" s="4" t="s">
        <v>196</v>
      </c>
      <c r="C68" s="4" t="s">
        <v>197</v>
      </c>
      <c r="D68" s="4" t="s">
        <v>101</v>
      </c>
      <c r="E68" s="4" t="s">
        <v>39</v>
      </c>
      <c r="F68" s="4" t="s">
        <v>102</v>
      </c>
      <c r="G68" s="5">
        <v>120000</v>
      </c>
      <c r="H68" s="4" t="s">
        <v>19</v>
      </c>
      <c r="I68" s="4" t="s">
        <v>148</v>
      </c>
      <c r="J68" s="4">
        <v>14</v>
      </c>
      <c r="K68" s="4" t="s">
        <v>21</v>
      </c>
      <c r="L68" s="4" t="s">
        <v>22</v>
      </c>
      <c r="M68" s="4">
        <v>10</v>
      </c>
    </row>
    <row r="69" spans="1:13" x14ac:dyDescent="0.3">
      <c r="A69" s="2">
        <v>67</v>
      </c>
      <c r="B69" s="2" t="s">
        <v>198</v>
      </c>
      <c r="C69" s="2" t="s">
        <v>199</v>
      </c>
      <c r="D69" s="2" t="s">
        <v>54</v>
      </c>
      <c r="E69" s="2" t="s">
        <v>60</v>
      </c>
      <c r="F69" s="2" t="s">
        <v>200</v>
      </c>
      <c r="G69" s="3">
        <v>44000</v>
      </c>
      <c r="H69" s="2" t="s">
        <v>36</v>
      </c>
      <c r="I69" s="2" t="s">
        <v>148</v>
      </c>
      <c r="J69" s="2">
        <v>17</v>
      </c>
      <c r="K69" s="2" t="s">
        <v>21</v>
      </c>
      <c r="L69" s="2" t="s">
        <v>57</v>
      </c>
      <c r="M69" s="2">
        <v>6</v>
      </c>
    </row>
    <row r="70" spans="1:13" x14ac:dyDescent="0.3">
      <c r="A70" s="4">
        <v>68</v>
      </c>
      <c r="B70" s="4" t="s">
        <v>201</v>
      </c>
      <c r="C70" s="4" t="s">
        <v>202</v>
      </c>
      <c r="D70" s="4" t="s">
        <v>30</v>
      </c>
      <c r="E70" s="4" t="s">
        <v>25</v>
      </c>
      <c r="F70" s="4" t="s">
        <v>35</v>
      </c>
      <c r="G70" s="5">
        <v>42000</v>
      </c>
      <c r="H70" s="4" t="s">
        <v>36</v>
      </c>
      <c r="I70" s="4" t="s">
        <v>148</v>
      </c>
      <c r="J70" s="4">
        <v>8</v>
      </c>
      <c r="K70" s="4" t="s">
        <v>21</v>
      </c>
      <c r="L70" s="4" t="s">
        <v>57</v>
      </c>
      <c r="M70" s="4">
        <v>9</v>
      </c>
    </row>
    <row r="71" spans="1:13" x14ac:dyDescent="0.3">
      <c r="A71" s="2">
        <v>69</v>
      </c>
      <c r="B71" s="2" t="s">
        <v>203</v>
      </c>
      <c r="C71" s="2" t="s">
        <v>204</v>
      </c>
      <c r="D71" s="2" t="s">
        <v>66</v>
      </c>
      <c r="E71" s="2" t="s">
        <v>25</v>
      </c>
      <c r="F71" s="2" t="s">
        <v>121</v>
      </c>
      <c r="G71" s="3">
        <v>64000</v>
      </c>
      <c r="H71" s="2" t="s">
        <v>32</v>
      </c>
      <c r="I71" s="2" t="s">
        <v>148</v>
      </c>
      <c r="J71" s="2">
        <v>11</v>
      </c>
      <c r="K71" s="2" t="s">
        <v>21</v>
      </c>
      <c r="L71" s="2" t="s">
        <v>22</v>
      </c>
      <c r="M71" s="2">
        <v>3</v>
      </c>
    </row>
    <row r="72" spans="1:13" x14ac:dyDescent="0.3">
      <c r="A72" s="4">
        <v>70</v>
      </c>
      <c r="B72" s="4" t="s">
        <v>205</v>
      </c>
      <c r="C72" s="4" t="s">
        <v>206</v>
      </c>
      <c r="D72" s="4" t="s">
        <v>30</v>
      </c>
      <c r="E72" s="4" t="s">
        <v>45</v>
      </c>
      <c r="F72" s="4" t="s">
        <v>31</v>
      </c>
      <c r="G72" s="5">
        <v>54000</v>
      </c>
      <c r="H72" s="4" t="s">
        <v>19</v>
      </c>
      <c r="I72" s="4" t="s">
        <v>148</v>
      </c>
      <c r="J72" s="4">
        <v>9</v>
      </c>
      <c r="K72" s="4" t="s">
        <v>21</v>
      </c>
      <c r="L72" s="4" t="s">
        <v>22</v>
      </c>
      <c r="M72" s="4">
        <v>12</v>
      </c>
    </row>
    <row r="73" spans="1:13" x14ac:dyDescent="0.3">
      <c r="A73" s="2">
        <v>71</v>
      </c>
      <c r="B73" s="2" t="s">
        <v>207</v>
      </c>
      <c r="C73" s="2" t="s">
        <v>208</v>
      </c>
      <c r="D73" s="2" t="s">
        <v>66</v>
      </c>
      <c r="E73" s="2" t="s">
        <v>50</v>
      </c>
      <c r="F73" s="2" t="s">
        <v>67</v>
      </c>
      <c r="G73" s="3">
        <v>65000</v>
      </c>
      <c r="H73" s="2" t="s">
        <v>36</v>
      </c>
      <c r="I73" s="2" t="s">
        <v>148</v>
      </c>
      <c r="J73" s="2">
        <v>10</v>
      </c>
      <c r="K73" s="2" t="s">
        <v>27</v>
      </c>
      <c r="L73" s="2" t="s">
        <v>22</v>
      </c>
      <c r="M73" s="2">
        <v>6</v>
      </c>
    </row>
    <row r="74" spans="1:13" x14ac:dyDescent="0.3">
      <c r="A74" s="4">
        <v>72</v>
      </c>
      <c r="B74" s="4" t="s">
        <v>209</v>
      </c>
      <c r="C74" s="4" t="s">
        <v>210</v>
      </c>
      <c r="D74" s="4" t="s">
        <v>59</v>
      </c>
      <c r="E74" s="4" t="s">
        <v>45</v>
      </c>
      <c r="F74" s="4" t="s">
        <v>80</v>
      </c>
      <c r="G74" s="5">
        <v>49000</v>
      </c>
      <c r="H74" s="4" t="s">
        <v>32</v>
      </c>
      <c r="I74" s="4" t="s">
        <v>148</v>
      </c>
      <c r="J74" s="4">
        <v>12</v>
      </c>
      <c r="K74" s="4" t="s">
        <v>21</v>
      </c>
      <c r="L74" s="4" t="s">
        <v>22</v>
      </c>
      <c r="M74" s="4">
        <v>4</v>
      </c>
    </row>
    <row r="75" spans="1:13" x14ac:dyDescent="0.3">
      <c r="A75" s="2">
        <v>73</v>
      </c>
      <c r="B75" s="2" t="s">
        <v>211</v>
      </c>
      <c r="C75" s="2" t="s">
        <v>212</v>
      </c>
      <c r="D75" s="2" t="s">
        <v>49</v>
      </c>
      <c r="E75" s="2" t="s">
        <v>25</v>
      </c>
      <c r="F75" s="2" t="s">
        <v>189</v>
      </c>
      <c r="G75" s="3">
        <v>29000</v>
      </c>
      <c r="H75" s="2" t="s">
        <v>36</v>
      </c>
      <c r="I75" s="2" t="s">
        <v>148</v>
      </c>
      <c r="J75" s="2">
        <v>7</v>
      </c>
      <c r="K75" s="2" t="s">
        <v>27</v>
      </c>
      <c r="L75" s="2" t="s">
        <v>22</v>
      </c>
      <c r="M75" s="2">
        <v>9</v>
      </c>
    </row>
    <row r="76" spans="1:13" x14ac:dyDescent="0.3">
      <c r="A76" s="4">
        <v>74</v>
      </c>
      <c r="B76" s="4" t="s">
        <v>213</v>
      </c>
      <c r="C76" s="4" t="s">
        <v>214</v>
      </c>
      <c r="D76" s="4" t="s">
        <v>90</v>
      </c>
      <c r="E76" s="4" t="s">
        <v>39</v>
      </c>
      <c r="F76" s="4" t="s">
        <v>91</v>
      </c>
      <c r="G76" s="5">
        <v>56000</v>
      </c>
      <c r="H76" s="4" t="s">
        <v>32</v>
      </c>
      <c r="I76" s="4" t="s">
        <v>148</v>
      </c>
      <c r="J76" s="4">
        <v>1</v>
      </c>
      <c r="K76" s="4" t="s">
        <v>21</v>
      </c>
      <c r="L76" s="4" t="s">
        <v>57</v>
      </c>
      <c r="M76" s="4">
        <v>2</v>
      </c>
    </row>
    <row r="77" spans="1:13" x14ac:dyDescent="0.3">
      <c r="A77" s="2">
        <v>75</v>
      </c>
      <c r="B77" s="2" t="s">
        <v>215</v>
      </c>
      <c r="C77" s="2" t="s">
        <v>216</v>
      </c>
      <c r="D77" s="2" t="s">
        <v>90</v>
      </c>
      <c r="E77" s="2" t="s">
        <v>39</v>
      </c>
      <c r="F77" s="2" t="s">
        <v>113</v>
      </c>
      <c r="G77" s="3">
        <v>44000</v>
      </c>
      <c r="H77" s="2" t="s">
        <v>36</v>
      </c>
      <c r="I77" s="2" t="s">
        <v>148</v>
      </c>
      <c r="J77" s="2">
        <v>15</v>
      </c>
      <c r="K77" s="2" t="s">
        <v>21</v>
      </c>
      <c r="L77" s="2" t="s">
        <v>22</v>
      </c>
      <c r="M77" s="2">
        <v>3</v>
      </c>
    </row>
    <row r="78" spans="1:13" x14ac:dyDescent="0.3">
      <c r="A78" s="4">
        <v>76</v>
      </c>
      <c r="B78" s="4" t="s">
        <v>217</v>
      </c>
      <c r="C78" s="4" t="s">
        <v>218</v>
      </c>
      <c r="D78" s="4" t="s">
        <v>59</v>
      </c>
      <c r="E78" s="4" t="s">
        <v>73</v>
      </c>
      <c r="F78" s="4" t="s">
        <v>85</v>
      </c>
      <c r="G78" s="5">
        <v>28000</v>
      </c>
      <c r="H78" s="4" t="s">
        <v>36</v>
      </c>
      <c r="I78" s="4" t="s">
        <v>148</v>
      </c>
      <c r="J78" s="4">
        <v>13</v>
      </c>
      <c r="K78" s="4" t="s">
        <v>21</v>
      </c>
      <c r="L78" s="4" t="s">
        <v>57</v>
      </c>
      <c r="M78" s="4">
        <v>8</v>
      </c>
    </row>
    <row r="79" spans="1:13" x14ac:dyDescent="0.3">
      <c r="A79" s="2">
        <v>77</v>
      </c>
      <c r="B79" s="2" t="s">
        <v>219</v>
      </c>
      <c r="C79" s="2" t="s">
        <v>220</v>
      </c>
      <c r="D79" s="2" t="s">
        <v>16</v>
      </c>
      <c r="E79" s="2" t="s">
        <v>50</v>
      </c>
      <c r="F79" s="2" t="s">
        <v>42</v>
      </c>
      <c r="G79" s="3">
        <v>36000</v>
      </c>
      <c r="H79" s="2" t="s">
        <v>19</v>
      </c>
      <c r="I79" s="2" t="s">
        <v>148</v>
      </c>
      <c r="J79" s="2">
        <v>7</v>
      </c>
      <c r="K79" s="2" t="s">
        <v>21</v>
      </c>
      <c r="L79" s="2" t="s">
        <v>22</v>
      </c>
      <c r="M79" s="2">
        <v>0</v>
      </c>
    </row>
    <row r="80" spans="1:13" x14ac:dyDescent="0.3">
      <c r="A80" s="4">
        <v>78</v>
      </c>
      <c r="B80" s="4" t="s">
        <v>221</v>
      </c>
      <c r="C80" s="4" t="s">
        <v>222</v>
      </c>
      <c r="D80" s="4" t="s">
        <v>30</v>
      </c>
      <c r="E80" s="4" t="s">
        <v>17</v>
      </c>
      <c r="F80" s="4" t="s">
        <v>31</v>
      </c>
      <c r="G80" s="5">
        <v>40000</v>
      </c>
      <c r="H80" s="4" t="s">
        <v>32</v>
      </c>
      <c r="I80" s="4" t="s">
        <v>148</v>
      </c>
      <c r="J80" s="4">
        <v>1</v>
      </c>
      <c r="K80" s="4" t="s">
        <v>21</v>
      </c>
      <c r="L80" s="4" t="s">
        <v>22</v>
      </c>
      <c r="M80" s="4">
        <v>10</v>
      </c>
    </row>
    <row r="81" spans="1:13" x14ac:dyDescent="0.3">
      <c r="A81" s="2">
        <v>79</v>
      </c>
      <c r="B81" s="2" t="s">
        <v>223</v>
      </c>
      <c r="C81" s="2" t="s">
        <v>224</v>
      </c>
      <c r="D81" s="2" t="s">
        <v>101</v>
      </c>
      <c r="E81" s="2" t="s">
        <v>73</v>
      </c>
      <c r="F81" s="2" t="s">
        <v>126</v>
      </c>
      <c r="G81" s="3">
        <v>90000</v>
      </c>
      <c r="H81" s="2" t="s">
        <v>19</v>
      </c>
      <c r="I81" s="2" t="s">
        <v>148</v>
      </c>
      <c r="J81" s="2">
        <v>1</v>
      </c>
      <c r="K81" s="2" t="s">
        <v>21</v>
      </c>
      <c r="L81" s="2" t="s">
        <v>22</v>
      </c>
      <c r="M81" s="2">
        <v>7</v>
      </c>
    </row>
    <row r="82" spans="1:13" x14ac:dyDescent="0.3">
      <c r="A82" s="4">
        <v>80</v>
      </c>
      <c r="B82" s="4" t="s">
        <v>225</v>
      </c>
      <c r="C82" s="4" t="s">
        <v>226</v>
      </c>
      <c r="D82" s="4" t="s">
        <v>16</v>
      </c>
      <c r="E82" s="4" t="s">
        <v>50</v>
      </c>
      <c r="F82" s="4" t="s">
        <v>74</v>
      </c>
      <c r="G82" s="5">
        <v>74000</v>
      </c>
      <c r="H82" s="4" t="s">
        <v>32</v>
      </c>
      <c r="I82" s="4" t="s">
        <v>148</v>
      </c>
      <c r="J82" s="4">
        <v>11</v>
      </c>
      <c r="K82" s="4" t="s">
        <v>27</v>
      </c>
      <c r="L82" s="4" t="s">
        <v>22</v>
      </c>
      <c r="M82" s="4">
        <v>12</v>
      </c>
    </row>
    <row r="83" spans="1:13" x14ac:dyDescent="0.3">
      <c r="A83" s="2">
        <v>81</v>
      </c>
      <c r="B83" s="2" t="s">
        <v>227</v>
      </c>
      <c r="C83" s="2" t="s">
        <v>228</v>
      </c>
      <c r="D83" s="2" t="s">
        <v>54</v>
      </c>
      <c r="E83" s="2" t="s">
        <v>17</v>
      </c>
      <c r="F83" s="2" t="s">
        <v>56</v>
      </c>
      <c r="G83" s="3">
        <v>20000</v>
      </c>
      <c r="H83" s="2" t="s">
        <v>36</v>
      </c>
      <c r="I83" s="2" t="s">
        <v>148</v>
      </c>
      <c r="J83" s="2">
        <v>0</v>
      </c>
      <c r="K83" s="2" t="s">
        <v>27</v>
      </c>
      <c r="L83" s="2" t="s">
        <v>22</v>
      </c>
      <c r="M83" s="2">
        <v>10</v>
      </c>
    </row>
    <row r="84" spans="1:13" x14ac:dyDescent="0.3">
      <c r="A84" s="4">
        <v>82</v>
      </c>
      <c r="B84" s="4" t="s">
        <v>229</v>
      </c>
      <c r="C84" s="4" t="s">
        <v>230</v>
      </c>
      <c r="D84" s="4" t="s">
        <v>90</v>
      </c>
      <c r="E84" s="4" t="s">
        <v>39</v>
      </c>
      <c r="F84" s="4" t="s">
        <v>98</v>
      </c>
      <c r="G84" s="5">
        <v>30000</v>
      </c>
      <c r="H84" s="4" t="s">
        <v>19</v>
      </c>
      <c r="I84" s="4" t="s">
        <v>148</v>
      </c>
      <c r="J84" s="4">
        <v>5</v>
      </c>
      <c r="K84" s="4" t="s">
        <v>21</v>
      </c>
      <c r="L84" s="4" t="s">
        <v>22</v>
      </c>
      <c r="M84" s="4">
        <v>0</v>
      </c>
    </row>
    <row r="85" spans="1:13" x14ac:dyDescent="0.3">
      <c r="A85" s="2">
        <v>83</v>
      </c>
      <c r="B85" s="2" t="s">
        <v>231</v>
      </c>
      <c r="C85" s="2" t="s">
        <v>232</v>
      </c>
      <c r="D85" s="2" t="s">
        <v>16</v>
      </c>
      <c r="E85" s="2" t="s">
        <v>17</v>
      </c>
      <c r="F85" s="2" t="s">
        <v>18</v>
      </c>
      <c r="G85" s="3">
        <v>30000</v>
      </c>
      <c r="H85" s="2" t="s">
        <v>26</v>
      </c>
      <c r="I85" s="2" t="s">
        <v>148</v>
      </c>
      <c r="J85" s="2">
        <v>1</v>
      </c>
      <c r="K85" s="2" t="s">
        <v>27</v>
      </c>
      <c r="L85" s="2" t="s">
        <v>57</v>
      </c>
      <c r="M85" s="2">
        <v>6</v>
      </c>
    </row>
    <row r="86" spans="1:13" x14ac:dyDescent="0.3">
      <c r="A86" s="4">
        <v>84</v>
      </c>
      <c r="B86" s="4" t="s">
        <v>233</v>
      </c>
      <c r="C86" s="4" t="s">
        <v>163</v>
      </c>
      <c r="D86" s="4" t="s">
        <v>16</v>
      </c>
      <c r="E86" s="4" t="s">
        <v>73</v>
      </c>
      <c r="F86" s="4" t="s">
        <v>74</v>
      </c>
      <c r="G86" s="5">
        <v>59000</v>
      </c>
      <c r="H86" s="4" t="s">
        <v>32</v>
      </c>
      <c r="I86" s="4" t="s">
        <v>148</v>
      </c>
      <c r="J86" s="4">
        <v>6</v>
      </c>
      <c r="K86" s="4" t="s">
        <v>21</v>
      </c>
      <c r="L86" s="4" t="s">
        <v>22</v>
      </c>
      <c r="M86" s="4">
        <v>11</v>
      </c>
    </row>
    <row r="87" spans="1:13" x14ac:dyDescent="0.3">
      <c r="A87" s="2">
        <v>85</v>
      </c>
      <c r="B87" s="2" t="s">
        <v>234</v>
      </c>
      <c r="C87" s="2" t="s">
        <v>235</v>
      </c>
      <c r="D87" s="2" t="s">
        <v>54</v>
      </c>
      <c r="E87" s="2" t="s">
        <v>55</v>
      </c>
      <c r="F87" s="2" t="s">
        <v>56</v>
      </c>
      <c r="G87" s="3">
        <v>51000</v>
      </c>
      <c r="H87" s="2" t="s">
        <v>36</v>
      </c>
      <c r="I87" s="2" t="s">
        <v>148</v>
      </c>
      <c r="J87" s="2">
        <v>16</v>
      </c>
      <c r="K87" s="2" t="s">
        <v>21</v>
      </c>
      <c r="L87" s="2" t="s">
        <v>46</v>
      </c>
      <c r="M87" s="2">
        <v>12</v>
      </c>
    </row>
    <row r="88" spans="1:13" x14ac:dyDescent="0.3">
      <c r="A88" s="4">
        <v>86</v>
      </c>
      <c r="B88" s="4" t="s">
        <v>236</v>
      </c>
      <c r="C88" s="4" t="s">
        <v>237</v>
      </c>
      <c r="D88" s="4" t="s">
        <v>90</v>
      </c>
      <c r="E88" s="4" t="s">
        <v>17</v>
      </c>
      <c r="F88" s="4" t="s">
        <v>98</v>
      </c>
      <c r="G88" s="5">
        <v>38000</v>
      </c>
      <c r="H88" s="4" t="s">
        <v>32</v>
      </c>
      <c r="I88" s="4" t="s">
        <v>148</v>
      </c>
      <c r="J88" s="4">
        <v>18</v>
      </c>
      <c r="K88" s="4" t="s">
        <v>27</v>
      </c>
      <c r="L88" s="4" t="s">
        <v>22</v>
      </c>
      <c r="M88" s="4">
        <v>6</v>
      </c>
    </row>
    <row r="89" spans="1:13" x14ac:dyDescent="0.3">
      <c r="A89" s="2">
        <v>87</v>
      </c>
      <c r="B89" s="2" t="s">
        <v>238</v>
      </c>
      <c r="C89" s="2" t="s">
        <v>239</v>
      </c>
      <c r="D89" s="2" t="s">
        <v>49</v>
      </c>
      <c r="E89" s="2" t="s">
        <v>17</v>
      </c>
      <c r="F89" s="2" t="s">
        <v>108</v>
      </c>
      <c r="G89" s="3">
        <v>58000</v>
      </c>
      <c r="H89" s="2" t="s">
        <v>161</v>
      </c>
      <c r="I89" s="2" t="s">
        <v>148</v>
      </c>
      <c r="J89" s="2">
        <v>11</v>
      </c>
      <c r="K89" s="2" t="s">
        <v>27</v>
      </c>
      <c r="L89" s="2" t="s">
        <v>22</v>
      </c>
      <c r="M89" s="2">
        <v>4</v>
      </c>
    </row>
    <row r="90" spans="1:13" x14ac:dyDescent="0.3">
      <c r="A90" s="4">
        <v>88</v>
      </c>
      <c r="B90" s="4" t="s">
        <v>240</v>
      </c>
      <c r="C90" s="4" t="s">
        <v>241</v>
      </c>
      <c r="D90" s="4" t="s">
        <v>30</v>
      </c>
      <c r="E90" s="4" t="s">
        <v>39</v>
      </c>
      <c r="F90" s="4" t="s">
        <v>77</v>
      </c>
      <c r="G90" s="5">
        <v>48000</v>
      </c>
      <c r="H90" s="4" t="s">
        <v>36</v>
      </c>
      <c r="I90" s="4" t="s">
        <v>148</v>
      </c>
      <c r="J90" s="4">
        <v>6</v>
      </c>
      <c r="K90" s="4" t="s">
        <v>21</v>
      </c>
      <c r="L90" s="4" t="s">
        <v>46</v>
      </c>
      <c r="M90" s="4">
        <v>4</v>
      </c>
    </row>
    <row r="91" spans="1:13" x14ac:dyDescent="0.3">
      <c r="A91" s="2">
        <v>89</v>
      </c>
      <c r="B91" s="2" t="s">
        <v>242</v>
      </c>
      <c r="C91" s="2" t="s">
        <v>243</v>
      </c>
      <c r="D91" s="2" t="s">
        <v>59</v>
      </c>
      <c r="E91" s="2" t="s">
        <v>39</v>
      </c>
      <c r="F91" s="2" t="s">
        <v>85</v>
      </c>
      <c r="G91" s="3">
        <v>76000</v>
      </c>
      <c r="H91" s="2" t="s">
        <v>36</v>
      </c>
      <c r="I91" s="2" t="s">
        <v>244</v>
      </c>
      <c r="J91" s="2">
        <v>0</v>
      </c>
      <c r="K91" s="2" t="s">
        <v>21</v>
      </c>
      <c r="L91" s="2" t="s">
        <v>22</v>
      </c>
      <c r="M91" s="2">
        <v>9</v>
      </c>
    </row>
    <row r="92" spans="1:13" x14ac:dyDescent="0.3">
      <c r="A92" s="4">
        <v>90</v>
      </c>
      <c r="B92" s="4" t="s">
        <v>245</v>
      </c>
      <c r="C92" s="4" t="s">
        <v>246</v>
      </c>
      <c r="D92" s="4" t="s">
        <v>54</v>
      </c>
      <c r="E92" s="4" t="s">
        <v>55</v>
      </c>
      <c r="F92" s="4" t="s">
        <v>247</v>
      </c>
      <c r="G92" s="5">
        <v>63000</v>
      </c>
      <c r="H92" s="4" t="s">
        <v>36</v>
      </c>
      <c r="I92" s="4" t="s">
        <v>244</v>
      </c>
      <c r="J92" s="4">
        <v>16</v>
      </c>
      <c r="K92" s="4" t="s">
        <v>21</v>
      </c>
      <c r="L92" s="4" t="s">
        <v>22</v>
      </c>
      <c r="M92" s="4">
        <v>10</v>
      </c>
    </row>
    <row r="93" spans="1:13" x14ac:dyDescent="0.3">
      <c r="A93" s="2">
        <v>91</v>
      </c>
      <c r="B93" s="2" t="s">
        <v>248</v>
      </c>
      <c r="C93" s="2" t="s">
        <v>249</v>
      </c>
      <c r="D93" s="2" t="s">
        <v>30</v>
      </c>
      <c r="E93" s="2" t="s">
        <v>25</v>
      </c>
      <c r="F93" s="2" t="s">
        <v>77</v>
      </c>
      <c r="G93" s="3">
        <v>80000</v>
      </c>
      <c r="H93" s="2" t="s">
        <v>26</v>
      </c>
      <c r="I93" s="2" t="s">
        <v>244</v>
      </c>
      <c r="J93" s="2">
        <v>11</v>
      </c>
      <c r="K93" s="2" t="s">
        <v>21</v>
      </c>
      <c r="L93" s="2" t="s">
        <v>22</v>
      </c>
      <c r="M93" s="2">
        <v>8</v>
      </c>
    </row>
    <row r="94" spans="1:13" x14ac:dyDescent="0.3">
      <c r="A94" s="4">
        <v>92</v>
      </c>
      <c r="B94" s="4" t="s">
        <v>250</v>
      </c>
      <c r="C94" s="4" t="s">
        <v>251</v>
      </c>
      <c r="D94" s="4" t="s">
        <v>66</v>
      </c>
      <c r="E94" s="4" t="s">
        <v>39</v>
      </c>
      <c r="F94" s="4" t="s">
        <v>67</v>
      </c>
      <c r="G94" s="5">
        <v>80000</v>
      </c>
      <c r="H94" s="4" t="s">
        <v>36</v>
      </c>
      <c r="I94" s="4" t="s">
        <v>244</v>
      </c>
      <c r="J94" s="4">
        <v>16</v>
      </c>
      <c r="K94" s="4" t="s">
        <v>27</v>
      </c>
      <c r="L94" s="4" t="s">
        <v>22</v>
      </c>
      <c r="M94" s="4">
        <v>11</v>
      </c>
    </row>
    <row r="95" spans="1:13" x14ac:dyDescent="0.3">
      <c r="A95" s="2">
        <v>93</v>
      </c>
      <c r="B95" s="2" t="s">
        <v>252</v>
      </c>
      <c r="C95" s="2" t="s">
        <v>253</v>
      </c>
      <c r="D95" s="2" t="s">
        <v>49</v>
      </c>
      <c r="E95" s="2" t="s">
        <v>50</v>
      </c>
      <c r="F95" s="2" t="s">
        <v>70</v>
      </c>
      <c r="G95" s="3">
        <v>30000</v>
      </c>
      <c r="H95" s="2" t="s">
        <v>32</v>
      </c>
      <c r="I95" s="2" t="s">
        <v>244</v>
      </c>
      <c r="J95" s="2">
        <v>5</v>
      </c>
      <c r="K95" s="2" t="s">
        <v>21</v>
      </c>
      <c r="L95" s="2" t="s">
        <v>22</v>
      </c>
      <c r="M95" s="2">
        <v>7</v>
      </c>
    </row>
    <row r="96" spans="1:13" x14ac:dyDescent="0.3">
      <c r="A96" s="4">
        <v>94</v>
      </c>
      <c r="B96" s="4" t="s">
        <v>254</v>
      </c>
      <c r="C96" s="4" t="s">
        <v>199</v>
      </c>
      <c r="D96" s="4" t="s">
        <v>30</v>
      </c>
      <c r="E96" s="4" t="s">
        <v>39</v>
      </c>
      <c r="F96" s="4" t="s">
        <v>77</v>
      </c>
      <c r="G96" s="5">
        <v>78000</v>
      </c>
      <c r="H96" s="4" t="s">
        <v>36</v>
      </c>
      <c r="I96" s="4" t="s">
        <v>244</v>
      </c>
      <c r="J96" s="4">
        <v>12</v>
      </c>
      <c r="K96" s="4" t="s">
        <v>21</v>
      </c>
      <c r="L96" s="4" t="s">
        <v>22</v>
      </c>
      <c r="M96" s="4">
        <v>10</v>
      </c>
    </row>
    <row r="97" spans="1:13" x14ac:dyDescent="0.3">
      <c r="A97" s="2">
        <v>95</v>
      </c>
      <c r="B97" s="2" t="s">
        <v>255</v>
      </c>
      <c r="C97" s="2" t="s">
        <v>256</v>
      </c>
      <c r="D97" s="2" t="s">
        <v>59</v>
      </c>
      <c r="E97" s="2" t="s">
        <v>39</v>
      </c>
      <c r="F97" s="2" t="s">
        <v>85</v>
      </c>
      <c r="G97" s="3">
        <v>48000</v>
      </c>
      <c r="H97" s="2" t="s">
        <v>36</v>
      </c>
      <c r="I97" s="2" t="s">
        <v>244</v>
      </c>
      <c r="J97" s="2">
        <v>3</v>
      </c>
      <c r="K97" s="2" t="s">
        <v>27</v>
      </c>
      <c r="L97" s="2" t="s">
        <v>22</v>
      </c>
      <c r="M97" s="2">
        <v>5</v>
      </c>
    </row>
    <row r="98" spans="1:13" x14ac:dyDescent="0.3">
      <c r="A98" s="4">
        <v>96</v>
      </c>
      <c r="B98" s="4" t="s">
        <v>257</v>
      </c>
      <c r="C98" s="4" t="s">
        <v>258</v>
      </c>
      <c r="D98" s="4" t="s">
        <v>90</v>
      </c>
      <c r="E98" s="4" t="s">
        <v>17</v>
      </c>
      <c r="F98" s="4" t="s">
        <v>105</v>
      </c>
      <c r="G98" s="5">
        <v>20000</v>
      </c>
      <c r="H98" s="4" t="s">
        <v>36</v>
      </c>
      <c r="I98" s="4" t="s">
        <v>244</v>
      </c>
      <c r="J98" s="4">
        <v>15</v>
      </c>
      <c r="K98" s="4" t="s">
        <v>21</v>
      </c>
      <c r="L98" s="4" t="s">
        <v>57</v>
      </c>
      <c r="M98" s="4">
        <v>7</v>
      </c>
    </row>
    <row r="99" spans="1:13" x14ac:dyDescent="0.3">
      <c r="A99" s="2">
        <v>97</v>
      </c>
      <c r="B99" s="2" t="s">
        <v>259</v>
      </c>
      <c r="C99" s="2" t="s">
        <v>130</v>
      </c>
      <c r="D99" s="2" t="s">
        <v>59</v>
      </c>
      <c r="E99" s="2" t="s">
        <v>50</v>
      </c>
      <c r="F99" s="2" t="s">
        <v>85</v>
      </c>
      <c r="G99" s="3">
        <v>60000</v>
      </c>
      <c r="H99" s="2" t="s">
        <v>36</v>
      </c>
      <c r="I99" s="2" t="s">
        <v>244</v>
      </c>
      <c r="J99" s="2">
        <v>1</v>
      </c>
      <c r="K99" s="2" t="s">
        <v>27</v>
      </c>
      <c r="L99" s="2" t="s">
        <v>22</v>
      </c>
      <c r="M99" s="2">
        <v>6</v>
      </c>
    </row>
    <row r="100" spans="1:13" x14ac:dyDescent="0.3">
      <c r="A100" s="4">
        <v>98</v>
      </c>
      <c r="B100" s="4" t="s">
        <v>260</v>
      </c>
      <c r="C100" s="4" t="s">
        <v>261</v>
      </c>
      <c r="D100" s="4" t="s">
        <v>59</v>
      </c>
      <c r="E100" s="4" t="s">
        <v>25</v>
      </c>
      <c r="F100" s="4" t="s">
        <v>80</v>
      </c>
      <c r="G100" s="5">
        <v>50000</v>
      </c>
      <c r="H100" s="4" t="s">
        <v>19</v>
      </c>
      <c r="I100" s="4" t="s">
        <v>244</v>
      </c>
      <c r="J100" s="4">
        <v>10</v>
      </c>
      <c r="K100" s="4" t="s">
        <v>27</v>
      </c>
      <c r="L100" s="4" t="s">
        <v>22</v>
      </c>
      <c r="M100" s="4">
        <v>4</v>
      </c>
    </row>
    <row r="101" spans="1:13" x14ac:dyDescent="0.3">
      <c r="A101" s="2">
        <v>99</v>
      </c>
      <c r="B101" s="2" t="s">
        <v>262</v>
      </c>
      <c r="C101" s="2" t="s">
        <v>263</v>
      </c>
      <c r="D101" s="2" t="s">
        <v>90</v>
      </c>
      <c r="E101" s="2" t="s">
        <v>25</v>
      </c>
      <c r="F101" s="2" t="s">
        <v>98</v>
      </c>
      <c r="G101" s="3">
        <v>32000</v>
      </c>
      <c r="H101" s="2" t="s">
        <v>32</v>
      </c>
      <c r="I101" s="2" t="s">
        <v>244</v>
      </c>
      <c r="J101" s="2">
        <v>6</v>
      </c>
      <c r="K101" s="2" t="s">
        <v>21</v>
      </c>
      <c r="L101" s="2" t="s">
        <v>22</v>
      </c>
      <c r="M101" s="2">
        <v>3</v>
      </c>
    </row>
    <row r="102" spans="1:13" x14ac:dyDescent="0.3">
      <c r="A102" s="4">
        <v>100</v>
      </c>
      <c r="B102" s="4" t="s">
        <v>264</v>
      </c>
      <c r="C102" s="4" t="s">
        <v>265</v>
      </c>
      <c r="D102" s="4" t="s">
        <v>16</v>
      </c>
      <c r="E102" s="4" t="s">
        <v>17</v>
      </c>
      <c r="F102" s="4" t="s">
        <v>266</v>
      </c>
      <c r="G102" s="5">
        <v>97000</v>
      </c>
      <c r="H102" s="4" t="s">
        <v>19</v>
      </c>
      <c r="I102" s="4" t="s">
        <v>244</v>
      </c>
      <c r="J102" s="4">
        <v>7</v>
      </c>
      <c r="K102" s="4" t="s">
        <v>27</v>
      </c>
      <c r="L102" s="4" t="s">
        <v>22</v>
      </c>
      <c r="M102" s="4">
        <v>3</v>
      </c>
    </row>
    <row r="103" spans="1:13" x14ac:dyDescent="0.3">
      <c r="A103" s="2">
        <v>101</v>
      </c>
      <c r="B103" s="2" t="s">
        <v>267</v>
      </c>
      <c r="C103" s="2" t="s">
        <v>268</v>
      </c>
      <c r="D103" s="2" t="s">
        <v>54</v>
      </c>
      <c r="E103" s="2" t="s">
        <v>55</v>
      </c>
      <c r="F103" s="2" t="s">
        <v>200</v>
      </c>
      <c r="G103" s="3">
        <v>18000</v>
      </c>
      <c r="H103" s="2" t="s">
        <v>36</v>
      </c>
      <c r="I103" s="2" t="s">
        <v>244</v>
      </c>
      <c r="J103" s="2">
        <v>15</v>
      </c>
      <c r="K103" s="2" t="s">
        <v>27</v>
      </c>
      <c r="L103" s="2" t="s">
        <v>22</v>
      </c>
      <c r="M103" s="2">
        <v>10</v>
      </c>
    </row>
    <row r="104" spans="1:13" x14ac:dyDescent="0.3">
      <c r="A104" s="4">
        <v>102</v>
      </c>
      <c r="B104" s="4" t="s">
        <v>269</v>
      </c>
      <c r="C104" s="4" t="s">
        <v>270</v>
      </c>
      <c r="D104" s="4" t="s">
        <v>30</v>
      </c>
      <c r="E104" s="4" t="s">
        <v>25</v>
      </c>
      <c r="F104" s="4" t="s">
        <v>118</v>
      </c>
      <c r="G104" s="5">
        <v>70000</v>
      </c>
      <c r="H104" s="4" t="s">
        <v>19</v>
      </c>
      <c r="I104" s="4" t="s">
        <v>244</v>
      </c>
      <c r="J104" s="4">
        <v>6</v>
      </c>
      <c r="K104" s="4" t="s">
        <v>27</v>
      </c>
      <c r="L104" s="4" t="s">
        <v>22</v>
      </c>
      <c r="M104" s="4">
        <v>9</v>
      </c>
    </row>
    <row r="105" spans="1:13" x14ac:dyDescent="0.3">
      <c r="A105" s="2">
        <v>103</v>
      </c>
      <c r="B105" s="2" t="s">
        <v>271</v>
      </c>
      <c r="C105" s="2" t="s">
        <v>272</v>
      </c>
      <c r="D105" s="2" t="s">
        <v>66</v>
      </c>
      <c r="E105" s="2" t="s">
        <v>17</v>
      </c>
      <c r="F105" s="2" t="s">
        <v>121</v>
      </c>
      <c r="G105" s="3">
        <v>75000</v>
      </c>
      <c r="H105" s="2" t="s">
        <v>19</v>
      </c>
      <c r="I105" s="2" t="s">
        <v>244</v>
      </c>
      <c r="J105" s="2">
        <v>0</v>
      </c>
      <c r="K105" s="2" t="s">
        <v>27</v>
      </c>
      <c r="L105" s="2" t="s">
        <v>22</v>
      </c>
      <c r="M105" s="2">
        <v>1</v>
      </c>
    </row>
    <row r="106" spans="1:13" x14ac:dyDescent="0.3">
      <c r="A106" s="4">
        <v>104</v>
      </c>
      <c r="B106" s="4" t="s">
        <v>273</v>
      </c>
      <c r="C106" s="4" t="s">
        <v>274</v>
      </c>
      <c r="D106" s="4" t="s">
        <v>16</v>
      </c>
      <c r="E106" s="4" t="s">
        <v>25</v>
      </c>
      <c r="F106" s="4" t="s">
        <v>42</v>
      </c>
      <c r="G106" s="5">
        <v>43000</v>
      </c>
      <c r="H106" s="4" t="s">
        <v>32</v>
      </c>
      <c r="I106" s="4" t="s">
        <v>244</v>
      </c>
      <c r="J106" s="4">
        <v>14</v>
      </c>
      <c r="K106" s="4" t="s">
        <v>27</v>
      </c>
      <c r="L106" s="4" t="s">
        <v>22</v>
      </c>
      <c r="M106" s="4">
        <v>12</v>
      </c>
    </row>
    <row r="107" spans="1:13" x14ac:dyDescent="0.3">
      <c r="A107" s="2">
        <v>105</v>
      </c>
      <c r="B107" s="2" t="s">
        <v>275</v>
      </c>
      <c r="C107" s="2" t="s">
        <v>276</v>
      </c>
      <c r="D107" s="2" t="s">
        <v>49</v>
      </c>
      <c r="E107" s="2" t="s">
        <v>73</v>
      </c>
      <c r="F107" s="2" t="s">
        <v>70</v>
      </c>
      <c r="G107" s="3">
        <v>29000</v>
      </c>
      <c r="H107" s="2" t="s">
        <v>26</v>
      </c>
      <c r="I107" s="2" t="s">
        <v>244</v>
      </c>
      <c r="J107" s="2">
        <v>17</v>
      </c>
      <c r="K107" s="2" t="s">
        <v>21</v>
      </c>
      <c r="L107" s="2" t="s">
        <v>22</v>
      </c>
      <c r="M107" s="2">
        <v>4</v>
      </c>
    </row>
    <row r="108" spans="1:13" x14ac:dyDescent="0.3">
      <c r="A108" s="4">
        <v>106</v>
      </c>
      <c r="B108" s="4" t="s">
        <v>277</v>
      </c>
      <c r="C108" s="4" t="s">
        <v>278</v>
      </c>
      <c r="D108" s="4" t="s">
        <v>66</v>
      </c>
      <c r="E108" s="4" t="s">
        <v>73</v>
      </c>
      <c r="F108" s="4" t="s">
        <v>279</v>
      </c>
      <c r="G108" s="5">
        <v>41000</v>
      </c>
      <c r="H108" s="4" t="s">
        <v>32</v>
      </c>
      <c r="I108" s="4" t="s">
        <v>244</v>
      </c>
      <c r="J108" s="4">
        <v>9</v>
      </c>
      <c r="K108" s="4" t="s">
        <v>27</v>
      </c>
      <c r="L108" s="4" t="s">
        <v>57</v>
      </c>
      <c r="M108" s="4">
        <v>0</v>
      </c>
    </row>
    <row r="109" spans="1:13" x14ac:dyDescent="0.3">
      <c r="A109" s="2">
        <v>107</v>
      </c>
      <c r="B109" s="2" t="s">
        <v>280</v>
      </c>
      <c r="C109" s="2" t="s">
        <v>281</v>
      </c>
      <c r="D109" s="2" t="s">
        <v>49</v>
      </c>
      <c r="E109" s="2" t="s">
        <v>60</v>
      </c>
      <c r="F109" s="2" t="s">
        <v>189</v>
      </c>
      <c r="G109" s="3">
        <v>34000</v>
      </c>
      <c r="H109" s="2" t="s">
        <v>26</v>
      </c>
      <c r="I109" s="2" t="s">
        <v>244</v>
      </c>
      <c r="J109" s="2">
        <v>11</v>
      </c>
      <c r="K109" s="2" t="s">
        <v>21</v>
      </c>
      <c r="L109" s="2" t="s">
        <v>22</v>
      </c>
      <c r="M109" s="2">
        <v>3</v>
      </c>
    </row>
    <row r="110" spans="1:13" x14ac:dyDescent="0.3">
      <c r="A110" s="4">
        <v>108</v>
      </c>
      <c r="B110" s="4" t="s">
        <v>282</v>
      </c>
      <c r="C110" s="4" t="s">
        <v>283</v>
      </c>
      <c r="D110" s="4" t="s">
        <v>66</v>
      </c>
      <c r="E110" s="4" t="s">
        <v>60</v>
      </c>
      <c r="F110" s="4" t="s">
        <v>121</v>
      </c>
      <c r="G110" s="5">
        <v>40000</v>
      </c>
      <c r="H110" s="4" t="s">
        <v>36</v>
      </c>
      <c r="I110" s="4" t="s">
        <v>244</v>
      </c>
      <c r="J110" s="4">
        <v>11</v>
      </c>
      <c r="K110" s="4" t="s">
        <v>21</v>
      </c>
      <c r="L110" s="4" t="s">
        <v>22</v>
      </c>
      <c r="M110" s="4">
        <v>5</v>
      </c>
    </row>
    <row r="111" spans="1:13" x14ac:dyDescent="0.3">
      <c r="A111" s="2">
        <v>109</v>
      </c>
      <c r="B111" s="2" t="s">
        <v>284</v>
      </c>
      <c r="C111" s="2" t="s">
        <v>285</v>
      </c>
      <c r="D111" s="2" t="s">
        <v>66</v>
      </c>
      <c r="E111" s="2" t="s">
        <v>45</v>
      </c>
      <c r="F111" s="2" t="s">
        <v>67</v>
      </c>
      <c r="G111" s="3">
        <v>27000</v>
      </c>
      <c r="H111" s="2" t="s">
        <v>36</v>
      </c>
      <c r="I111" s="2" t="s">
        <v>244</v>
      </c>
      <c r="J111" s="2">
        <v>4</v>
      </c>
      <c r="K111" s="2" t="s">
        <v>21</v>
      </c>
      <c r="L111" s="2" t="s">
        <v>22</v>
      </c>
      <c r="M111" s="2">
        <v>2</v>
      </c>
    </row>
    <row r="112" spans="1:13" x14ac:dyDescent="0.3">
      <c r="A112" s="4">
        <v>110</v>
      </c>
      <c r="B112" s="4" t="s">
        <v>286</v>
      </c>
      <c r="C112" s="4" t="s">
        <v>193</v>
      </c>
      <c r="D112" s="4" t="s">
        <v>90</v>
      </c>
      <c r="E112" s="4" t="s">
        <v>50</v>
      </c>
      <c r="F112" s="4" t="s">
        <v>98</v>
      </c>
      <c r="G112" s="5">
        <v>57000</v>
      </c>
      <c r="H112" s="4" t="s">
        <v>36</v>
      </c>
      <c r="I112" s="4" t="s">
        <v>244</v>
      </c>
      <c r="J112" s="4">
        <v>2</v>
      </c>
      <c r="K112" s="4" t="s">
        <v>27</v>
      </c>
      <c r="L112" s="4" t="s">
        <v>22</v>
      </c>
      <c r="M112" s="4">
        <v>0</v>
      </c>
    </row>
    <row r="113" spans="1:13" x14ac:dyDescent="0.3">
      <c r="A113" s="2">
        <v>111</v>
      </c>
      <c r="B113" s="2" t="s">
        <v>287</v>
      </c>
      <c r="C113" s="2" t="s">
        <v>288</v>
      </c>
      <c r="D113" s="2" t="s">
        <v>30</v>
      </c>
      <c r="E113" s="2" t="s">
        <v>50</v>
      </c>
      <c r="F113" s="2" t="s">
        <v>31</v>
      </c>
      <c r="G113" s="3">
        <v>80000</v>
      </c>
      <c r="H113" s="2" t="s">
        <v>36</v>
      </c>
      <c r="I113" s="2" t="s">
        <v>244</v>
      </c>
      <c r="J113" s="2">
        <v>18</v>
      </c>
      <c r="K113" s="2" t="s">
        <v>21</v>
      </c>
      <c r="L113" s="2" t="s">
        <v>22</v>
      </c>
      <c r="M113" s="2">
        <v>1</v>
      </c>
    </row>
    <row r="114" spans="1:13" x14ac:dyDescent="0.3">
      <c r="A114" s="4">
        <v>112</v>
      </c>
      <c r="B114" s="4" t="s">
        <v>289</v>
      </c>
      <c r="C114" s="4" t="s">
        <v>290</v>
      </c>
      <c r="D114" s="4" t="s">
        <v>66</v>
      </c>
      <c r="E114" s="4" t="s">
        <v>50</v>
      </c>
      <c r="F114" s="4" t="s">
        <v>67</v>
      </c>
      <c r="G114" s="5">
        <v>48000</v>
      </c>
      <c r="H114" s="4" t="s">
        <v>19</v>
      </c>
      <c r="I114" s="4" t="s">
        <v>244</v>
      </c>
      <c r="J114" s="4">
        <v>6</v>
      </c>
      <c r="K114" s="4" t="s">
        <v>21</v>
      </c>
      <c r="L114" s="4" t="s">
        <v>22</v>
      </c>
      <c r="M114" s="4">
        <v>5</v>
      </c>
    </row>
    <row r="115" spans="1:13" x14ac:dyDescent="0.3">
      <c r="A115" s="2">
        <v>113</v>
      </c>
      <c r="B115" s="2" t="s">
        <v>291</v>
      </c>
      <c r="C115" s="2" t="s">
        <v>292</v>
      </c>
      <c r="D115" s="2" t="s">
        <v>49</v>
      </c>
      <c r="E115" s="2" t="s">
        <v>50</v>
      </c>
      <c r="F115" s="2" t="s">
        <v>189</v>
      </c>
      <c r="G115" s="3">
        <v>53000</v>
      </c>
      <c r="H115" s="2" t="s">
        <v>161</v>
      </c>
      <c r="I115" s="2" t="s">
        <v>244</v>
      </c>
      <c r="J115" s="2">
        <v>1</v>
      </c>
      <c r="K115" s="2" t="s">
        <v>27</v>
      </c>
      <c r="L115" s="2" t="s">
        <v>46</v>
      </c>
      <c r="M115" s="2">
        <v>2</v>
      </c>
    </row>
    <row r="116" spans="1:13" x14ac:dyDescent="0.3">
      <c r="A116" s="4">
        <v>114</v>
      </c>
      <c r="B116" s="4" t="s">
        <v>293</v>
      </c>
      <c r="C116" s="4" t="s">
        <v>294</v>
      </c>
      <c r="D116" s="4" t="s">
        <v>66</v>
      </c>
      <c r="E116" s="4" t="s">
        <v>45</v>
      </c>
      <c r="F116" s="4" t="s">
        <v>67</v>
      </c>
      <c r="G116" s="5">
        <v>36000</v>
      </c>
      <c r="H116" s="4" t="s">
        <v>36</v>
      </c>
      <c r="I116" s="4" t="s">
        <v>244</v>
      </c>
      <c r="J116" s="4">
        <v>18</v>
      </c>
      <c r="K116" s="4" t="s">
        <v>21</v>
      </c>
      <c r="L116" s="4" t="s">
        <v>22</v>
      </c>
      <c r="M116" s="4">
        <v>3</v>
      </c>
    </row>
    <row r="117" spans="1:13" x14ac:dyDescent="0.3">
      <c r="A117" s="2">
        <v>115</v>
      </c>
      <c r="B117" s="2" t="s">
        <v>295</v>
      </c>
      <c r="C117" s="2" t="s">
        <v>296</v>
      </c>
      <c r="D117" s="2" t="s">
        <v>101</v>
      </c>
      <c r="E117" s="2" t="s">
        <v>50</v>
      </c>
      <c r="F117" s="2" t="s">
        <v>126</v>
      </c>
      <c r="G117" s="3">
        <v>99000</v>
      </c>
      <c r="H117" s="2" t="s">
        <v>32</v>
      </c>
      <c r="I117" s="2" t="s">
        <v>244</v>
      </c>
      <c r="J117" s="2">
        <v>14</v>
      </c>
      <c r="K117" s="2" t="s">
        <v>21</v>
      </c>
      <c r="L117" s="2" t="s">
        <v>22</v>
      </c>
      <c r="M117" s="2">
        <v>1</v>
      </c>
    </row>
    <row r="118" spans="1:13" x14ac:dyDescent="0.3">
      <c r="A118" s="4">
        <v>116</v>
      </c>
      <c r="B118" s="4" t="s">
        <v>297</v>
      </c>
      <c r="C118" s="4" t="s">
        <v>298</v>
      </c>
      <c r="D118" s="4" t="s">
        <v>59</v>
      </c>
      <c r="E118" s="4" t="s">
        <v>50</v>
      </c>
      <c r="F118" s="4" t="s">
        <v>85</v>
      </c>
      <c r="G118" s="5">
        <v>72000</v>
      </c>
      <c r="H118" s="4" t="s">
        <v>32</v>
      </c>
      <c r="I118" s="4" t="s">
        <v>244</v>
      </c>
      <c r="J118" s="4">
        <v>3</v>
      </c>
      <c r="K118" s="4" t="s">
        <v>21</v>
      </c>
      <c r="L118" s="4" t="s">
        <v>22</v>
      </c>
      <c r="M118" s="4">
        <v>8</v>
      </c>
    </row>
    <row r="119" spans="1:13" x14ac:dyDescent="0.3">
      <c r="A119" s="2">
        <v>117</v>
      </c>
      <c r="B119" s="2" t="s">
        <v>299</v>
      </c>
      <c r="C119" s="2" t="s">
        <v>44</v>
      </c>
      <c r="D119" s="2" t="s">
        <v>90</v>
      </c>
      <c r="E119" s="2" t="s">
        <v>55</v>
      </c>
      <c r="F119" s="2" t="s">
        <v>113</v>
      </c>
      <c r="G119" s="3">
        <v>23000</v>
      </c>
      <c r="H119" s="2" t="s">
        <v>32</v>
      </c>
      <c r="I119" s="2" t="s">
        <v>244</v>
      </c>
      <c r="J119" s="2">
        <v>4</v>
      </c>
      <c r="K119" s="2" t="s">
        <v>27</v>
      </c>
      <c r="L119" s="2" t="s">
        <v>46</v>
      </c>
      <c r="M119" s="2">
        <v>2</v>
      </c>
    </row>
    <row r="120" spans="1:13" x14ac:dyDescent="0.3">
      <c r="A120" s="4">
        <v>118</v>
      </c>
      <c r="B120" s="4" t="s">
        <v>300</v>
      </c>
      <c r="C120" s="4" t="s">
        <v>301</v>
      </c>
      <c r="D120" s="4" t="s">
        <v>54</v>
      </c>
      <c r="E120" s="4" t="s">
        <v>39</v>
      </c>
      <c r="F120" s="4" t="s">
        <v>247</v>
      </c>
      <c r="G120" s="5">
        <v>18000</v>
      </c>
      <c r="H120" s="4" t="s">
        <v>32</v>
      </c>
      <c r="I120" s="4" t="s">
        <v>244</v>
      </c>
      <c r="J120" s="4">
        <v>0</v>
      </c>
      <c r="K120" s="4" t="s">
        <v>21</v>
      </c>
      <c r="L120" s="4" t="s">
        <v>22</v>
      </c>
      <c r="M120" s="4">
        <v>3</v>
      </c>
    </row>
    <row r="121" spans="1:13" x14ac:dyDescent="0.3">
      <c r="A121" s="2">
        <v>119</v>
      </c>
      <c r="B121" s="2" t="s">
        <v>302</v>
      </c>
      <c r="C121" s="2" t="s">
        <v>303</v>
      </c>
      <c r="D121" s="2" t="s">
        <v>66</v>
      </c>
      <c r="E121" s="2" t="s">
        <v>39</v>
      </c>
      <c r="F121" s="2" t="s">
        <v>121</v>
      </c>
      <c r="G121" s="3">
        <v>44000</v>
      </c>
      <c r="H121" s="2" t="s">
        <v>32</v>
      </c>
      <c r="I121" s="2" t="s">
        <v>244</v>
      </c>
      <c r="J121" s="2">
        <v>8</v>
      </c>
      <c r="K121" s="2" t="s">
        <v>21</v>
      </c>
      <c r="L121" s="2" t="s">
        <v>57</v>
      </c>
      <c r="M121" s="2">
        <v>8</v>
      </c>
    </row>
    <row r="122" spans="1:13" x14ac:dyDescent="0.3">
      <c r="A122" s="4">
        <v>120</v>
      </c>
      <c r="B122" s="4" t="s">
        <v>304</v>
      </c>
      <c r="C122" s="4" t="s">
        <v>305</v>
      </c>
      <c r="D122" s="4" t="s">
        <v>54</v>
      </c>
      <c r="E122" s="4" t="s">
        <v>39</v>
      </c>
      <c r="F122" s="4" t="s">
        <v>247</v>
      </c>
      <c r="G122" s="5">
        <v>48000</v>
      </c>
      <c r="H122" s="4" t="s">
        <v>26</v>
      </c>
      <c r="I122" s="4" t="s">
        <v>244</v>
      </c>
      <c r="J122" s="4">
        <v>12</v>
      </c>
      <c r="K122" s="4" t="s">
        <v>21</v>
      </c>
      <c r="L122" s="4" t="s">
        <v>46</v>
      </c>
      <c r="M122" s="4">
        <v>2</v>
      </c>
    </row>
    <row r="123" spans="1:13" x14ac:dyDescent="0.3">
      <c r="A123" s="2">
        <v>121</v>
      </c>
      <c r="B123" s="2" t="s">
        <v>306</v>
      </c>
      <c r="C123" s="2" t="s">
        <v>307</v>
      </c>
      <c r="D123" s="2" t="s">
        <v>90</v>
      </c>
      <c r="E123" s="2" t="s">
        <v>45</v>
      </c>
      <c r="F123" s="2" t="s">
        <v>98</v>
      </c>
      <c r="G123" s="3">
        <v>48000</v>
      </c>
      <c r="H123" s="2" t="s">
        <v>36</v>
      </c>
      <c r="I123" s="2" t="s">
        <v>244</v>
      </c>
      <c r="J123" s="2">
        <v>10</v>
      </c>
      <c r="K123" s="2" t="s">
        <v>21</v>
      </c>
      <c r="L123" s="2" t="s">
        <v>22</v>
      </c>
      <c r="M123" s="2">
        <v>9</v>
      </c>
    </row>
    <row r="124" spans="1:13" x14ac:dyDescent="0.3">
      <c r="A124" s="4">
        <v>122</v>
      </c>
      <c r="B124" s="4" t="s">
        <v>308</v>
      </c>
      <c r="C124" s="4" t="s">
        <v>309</v>
      </c>
      <c r="D124" s="4" t="s">
        <v>90</v>
      </c>
      <c r="E124" s="4" t="s">
        <v>25</v>
      </c>
      <c r="F124" s="4" t="s">
        <v>113</v>
      </c>
      <c r="G124" s="5">
        <v>47000</v>
      </c>
      <c r="H124" s="4" t="s">
        <v>36</v>
      </c>
      <c r="I124" s="4" t="s">
        <v>244</v>
      </c>
      <c r="J124" s="4">
        <v>16</v>
      </c>
      <c r="K124" s="4" t="s">
        <v>21</v>
      </c>
      <c r="L124" s="4" t="s">
        <v>22</v>
      </c>
      <c r="M124" s="4">
        <v>3</v>
      </c>
    </row>
    <row r="125" spans="1:13" x14ac:dyDescent="0.3">
      <c r="A125" s="2">
        <v>123</v>
      </c>
      <c r="B125" s="2" t="s">
        <v>310</v>
      </c>
      <c r="C125" s="2" t="s">
        <v>311</v>
      </c>
      <c r="D125" s="2" t="s">
        <v>101</v>
      </c>
      <c r="E125" s="2" t="s">
        <v>55</v>
      </c>
      <c r="F125" s="2" t="s">
        <v>126</v>
      </c>
      <c r="G125" s="3">
        <v>90000</v>
      </c>
      <c r="H125" s="2" t="s">
        <v>32</v>
      </c>
      <c r="I125" s="2" t="s">
        <v>244</v>
      </c>
      <c r="J125" s="2">
        <v>16</v>
      </c>
      <c r="K125" s="2" t="s">
        <v>27</v>
      </c>
      <c r="L125" s="2" t="s">
        <v>46</v>
      </c>
      <c r="M125" s="2">
        <v>2</v>
      </c>
    </row>
    <row r="126" spans="1:13" x14ac:dyDescent="0.3">
      <c r="A126" s="4">
        <v>124</v>
      </c>
      <c r="B126" s="4" t="s">
        <v>312</v>
      </c>
      <c r="C126" s="4" t="s">
        <v>313</v>
      </c>
      <c r="D126" s="4" t="s">
        <v>54</v>
      </c>
      <c r="E126" s="4" t="s">
        <v>25</v>
      </c>
      <c r="F126" s="4" t="s">
        <v>200</v>
      </c>
      <c r="G126" s="5">
        <v>66000</v>
      </c>
      <c r="H126" s="4" t="s">
        <v>36</v>
      </c>
      <c r="I126" s="4" t="s">
        <v>244</v>
      </c>
      <c r="J126" s="4">
        <v>11</v>
      </c>
      <c r="K126" s="4" t="s">
        <v>27</v>
      </c>
      <c r="L126" s="4" t="s">
        <v>57</v>
      </c>
      <c r="M126" s="4">
        <v>12</v>
      </c>
    </row>
    <row r="127" spans="1:13" x14ac:dyDescent="0.3">
      <c r="A127" s="2">
        <v>125</v>
      </c>
      <c r="B127" s="2" t="s">
        <v>314</v>
      </c>
      <c r="C127" s="2" t="s">
        <v>315</v>
      </c>
      <c r="D127" s="2" t="s">
        <v>90</v>
      </c>
      <c r="E127" s="2" t="s">
        <v>60</v>
      </c>
      <c r="F127" s="2" t="s">
        <v>98</v>
      </c>
      <c r="G127" s="3">
        <v>49000</v>
      </c>
      <c r="H127" s="2" t="s">
        <v>19</v>
      </c>
      <c r="I127" s="2" t="s">
        <v>244</v>
      </c>
      <c r="J127" s="2">
        <v>7</v>
      </c>
      <c r="K127" s="2" t="s">
        <v>27</v>
      </c>
      <c r="L127" s="2" t="s">
        <v>46</v>
      </c>
      <c r="M127" s="2">
        <v>12</v>
      </c>
    </row>
    <row r="128" spans="1:13" x14ac:dyDescent="0.3">
      <c r="A128" s="4">
        <v>126</v>
      </c>
      <c r="B128" s="4" t="s">
        <v>316</v>
      </c>
      <c r="C128" s="4" t="s">
        <v>317</v>
      </c>
      <c r="D128" s="4" t="s">
        <v>66</v>
      </c>
      <c r="E128" s="4" t="s">
        <v>55</v>
      </c>
      <c r="F128" s="4" t="s">
        <v>121</v>
      </c>
      <c r="G128" s="5">
        <v>95000</v>
      </c>
      <c r="H128" s="4" t="s">
        <v>36</v>
      </c>
      <c r="I128" s="4" t="s">
        <v>244</v>
      </c>
      <c r="J128" s="4">
        <v>8</v>
      </c>
      <c r="K128" s="4" t="s">
        <v>27</v>
      </c>
      <c r="L128" s="4" t="s">
        <v>22</v>
      </c>
      <c r="M128" s="4">
        <v>10</v>
      </c>
    </row>
    <row r="129" spans="1:13" x14ac:dyDescent="0.3">
      <c r="A129" s="2">
        <v>127</v>
      </c>
      <c r="B129" s="2" t="s">
        <v>318</v>
      </c>
      <c r="C129" s="2" t="s">
        <v>123</v>
      </c>
      <c r="D129" s="2" t="s">
        <v>59</v>
      </c>
      <c r="E129" s="2" t="s">
        <v>60</v>
      </c>
      <c r="F129" s="2" t="s">
        <v>319</v>
      </c>
      <c r="G129" s="3">
        <v>46000</v>
      </c>
      <c r="H129" s="2" t="s">
        <v>36</v>
      </c>
      <c r="I129" s="2" t="s">
        <v>244</v>
      </c>
      <c r="J129" s="2">
        <v>9</v>
      </c>
      <c r="K129" s="2" t="s">
        <v>27</v>
      </c>
      <c r="L129" s="2" t="s">
        <v>22</v>
      </c>
      <c r="M129" s="2">
        <v>5</v>
      </c>
    </row>
    <row r="130" spans="1:13" x14ac:dyDescent="0.3">
      <c r="A130" s="4">
        <v>128</v>
      </c>
      <c r="B130" s="4" t="s">
        <v>320</v>
      </c>
      <c r="C130" s="4" t="s">
        <v>321</v>
      </c>
      <c r="D130" s="4" t="s">
        <v>59</v>
      </c>
      <c r="E130" s="4" t="s">
        <v>55</v>
      </c>
      <c r="F130" s="4" t="s">
        <v>61</v>
      </c>
      <c r="G130" s="5">
        <v>54000</v>
      </c>
      <c r="H130" s="4" t="s">
        <v>161</v>
      </c>
      <c r="I130" s="4" t="s">
        <v>244</v>
      </c>
      <c r="J130" s="4">
        <v>14</v>
      </c>
      <c r="K130" s="4" t="s">
        <v>21</v>
      </c>
      <c r="L130" s="4" t="s">
        <v>22</v>
      </c>
      <c r="M130" s="4">
        <v>0</v>
      </c>
    </row>
    <row r="131" spans="1:13" x14ac:dyDescent="0.3">
      <c r="A131" s="2">
        <v>129</v>
      </c>
      <c r="B131" s="2" t="s">
        <v>322</v>
      </c>
      <c r="C131" s="2" t="s">
        <v>323</v>
      </c>
      <c r="D131" s="2" t="s">
        <v>59</v>
      </c>
      <c r="E131" s="2" t="s">
        <v>39</v>
      </c>
      <c r="F131" s="2" t="s">
        <v>80</v>
      </c>
      <c r="G131" s="3">
        <v>45000</v>
      </c>
      <c r="H131" s="2" t="s">
        <v>36</v>
      </c>
      <c r="I131" s="2" t="s">
        <v>244</v>
      </c>
      <c r="J131" s="2">
        <v>15</v>
      </c>
      <c r="K131" s="2" t="s">
        <v>27</v>
      </c>
      <c r="L131" s="2" t="s">
        <v>46</v>
      </c>
      <c r="M131" s="2">
        <v>11</v>
      </c>
    </row>
    <row r="132" spans="1:13" x14ac:dyDescent="0.3">
      <c r="A132" s="4">
        <v>130</v>
      </c>
      <c r="B132" s="4" t="s">
        <v>324</v>
      </c>
      <c r="C132" s="4" t="s">
        <v>325</v>
      </c>
      <c r="D132" s="4" t="s">
        <v>30</v>
      </c>
      <c r="E132" s="4" t="s">
        <v>60</v>
      </c>
      <c r="F132" s="4" t="s">
        <v>35</v>
      </c>
      <c r="G132" s="5">
        <v>77000</v>
      </c>
      <c r="H132" s="4" t="s">
        <v>19</v>
      </c>
      <c r="I132" s="4" t="s">
        <v>244</v>
      </c>
      <c r="J132" s="4">
        <v>17</v>
      </c>
      <c r="K132" s="4" t="s">
        <v>21</v>
      </c>
      <c r="L132" s="4" t="s">
        <v>22</v>
      </c>
      <c r="M132" s="4">
        <v>0</v>
      </c>
    </row>
    <row r="133" spans="1:13" x14ac:dyDescent="0.3">
      <c r="A133" s="2">
        <v>131</v>
      </c>
      <c r="B133" s="2" t="s">
        <v>326</v>
      </c>
      <c r="C133" s="2" t="s">
        <v>327</v>
      </c>
      <c r="D133" s="2" t="s">
        <v>66</v>
      </c>
      <c r="E133" s="2" t="s">
        <v>25</v>
      </c>
      <c r="F133" s="2" t="s">
        <v>279</v>
      </c>
      <c r="G133" s="3">
        <v>110000</v>
      </c>
      <c r="H133" s="2" t="s">
        <v>26</v>
      </c>
      <c r="I133" s="2" t="s">
        <v>244</v>
      </c>
      <c r="J133" s="2">
        <v>18</v>
      </c>
      <c r="K133" s="2" t="s">
        <v>27</v>
      </c>
      <c r="L133" s="2" t="s">
        <v>22</v>
      </c>
      <c r="M133" s="2">
        <v>0</v>
      </c>
    </row>
    <row r="134" spans="1:13" x14ac:dyDescent="0.3">
      <c r="A134" s="4">
        <v>132</v>
      </c>
      <c r="B134" s="4" t="s">
        <v>328</v>
      </c>
      <c r="C134" s="4" t="s">
        <v>329</v>
      </c>
      <c r="D134" s="4" t="s">
        <v>59</v>
      </c>
      <c r="E134" s="4" t="s">
        <v>60</v>
      </c>
      <c r="F134" s="4" t="s">
        <v>80</v>
      </c>
      <c r="G134" s="5">
        <v>25000</v>
      </c>
      <c r="H134" s="4" t="s">
        <v>36</v>
      </c>
      <c r="I134" s="4" t="s">
        <v>244</v>
      </c>
      <c r="J134" s="4">
        <v>3</v>
      </c>
      <c r="K134" s="4" t="s">
        <v>27</v>
      </c>
      <c r="L134" s="4" t="s">
        <v>22</v>
      </c>
      <c r="M134" s="4">
        <v>5</v>
      </c>
    </row>
    <row r="135" spans="1:13" x14ac:dyDescent="0.3">
      <c r="A135" s="2">
        <v>133</v>
      </c>
      <c r="B135" s="2" t="s">
        <v>330</v>
      </c>
      <c r="C135" s="2" t="s">
        <v>331</v>
      </c>
      <c r="D135" s="2" t="s">
        <v>101</v>
      </c>
      <c r="E135" s="2" t="s">
        <v>39</v>
      </c>
      <c r="F135" s="2" t="s">
        <v>126</v>
      </c>
      <c r="G135" s="3">
        <v>87000</v>
      </c>
      <c r="H135" s="2" t="s">
        <v>32</v>
      </c>
      <c r="I135" s="2" t="s">
        <v>244</v>
      </c>
      <c r="J135" s="2">
        <v>6</v>
      </c>
      <c r="K135" s="2" t="s">
        <v>27</v>
      </c>
      <c r="L135" s="2" t="s">
        <v>46</v>
      </c>
      <c r="M135" s="2">
        <v>8</v>
      </c>
    </row>
    <row r="136" spans="1:13" x14ac:dyDescent="0.3">
      <c r="A136" s="4">
        <v>134</v>
      </c>
      <c r="B136" s="4" t="s">
        <v>332</v>
      </c>
      <c r="C136" s="4" t="s">
        <v>333</v>
      </c>
      <c r="D136" s="4" t="s">
        <v>101</v>
      </c>
      <c r="E136" s="4" t="s">
        <v>55</v>
      </c>
      <c r="F136" s="4" t="s">
        <v>126</v>
      </c>
      <c r="G136" s="5">
        <v>41000</v>
      </c>
      <c r="H136" s="4" t="s">
        <v>32</v>
      </c>
      <c r="I136" s="4" t="s">
        <v>334</v>
      </c>
      <c r="J136" s="4">
        <v>7</v>
      </c>
      <c r="K136" s="4" t="s">
        <v>27</v>
      </c>
      <c r="L136" s="4" t="s">
        <v>22</v>
      </c>
      <c r="M136" s="4">
        <v>2</v>
      </c>
    </row>
    <row r="137" spans="1:13" x14ac:dyDescent="0.3">
      <c r="A137" s="2">
        <v>135</v>
      </c>
      <c r="B137" s="2" t="s">
        <v>335</v>
      </c>
      <c r="C137" s="2" t="s">
        <v>336</v>
      </c>
      <c r="D137" s="2" t="s">
        <v>66</v>
      </c>
      <c r="E137" s="2" t="s">
        <v>55</v>
      </c>
      <c r="F137" s="2" t="s">
        <v>121</v>
      </c>
      <c r="G137" s="3">
        <v>67000</v>
      </c>
      <c r="H137" s="2" t="s">
        <v>19</v>
      </c>
      <c r="I137" s="2" t="s">
        <v>334</v>
      </c>
      <c r="J137" s="2">
        <v>6</v>
      </c>
      <c r="K137" s="2" t="s">
        <v>27</v>
      </c>
      <c r="L137" s="2" t="s">
        <v>57</v>
      </c>
      <c r="M137" s="2">
        <v>1</v>
      </c>
    </row>
    <row r="138" spans="1:13" x14ac:dyDescent="0.3">
      <c r="A138" s="4">
        <v>136</v>
      </c>
      <c r="B138" s="4" t="s">
        <v>337</v>
      </c>
      <c r="C138" s="4" t="s">
        <v>182</v>
      </c>
      <c r="D138" s="4" t="s">
        <v>30</v>
      </c>
      <c r="E138" s="4" t="s">
        <v>55</v>
      </c>
      <c r="F138" s="4" t="s">
        <v>31</v>
      </c>
      <c r="G138" s="5">
        <v>44000</v>
      </c>
      <c r="H138" s="4" t="s">
        <v>36</v>
      </c>
      <c r="I138" s="4" t="s">
        <v>334</v>
      </c>
      <c r="J138" s="4">
        <v>2</v>
      </c>
      <c r="K138" s="4" t="s">
        <v>27</v>
      </c>
      <c r="L138" s="4" t="s">
        <v>22</v>
      </c>
      <c r="M138" s="4">
        <v>10</v>
      </c>
    </row>
    <row r="139" spans="1:13" x14ac:dyDescent="0.3">
      <c r="A139" s="2">
        <v>137</v>
      </c>
      <c r="B139" s="2" t="s">
        <v>338</v>
      </c>
      <c r="C139" s="2" t="s">
        <v>100</v>
      </c>
      <c r="D139" s="2" t="s">
        <v>54</v>
      </c>
      <c r="E139" s="2" t="s">
        <v>60</v>
      </c>
      <c r="F139" s="2" t="s">
        <v>158</v>
      </c>
      <c r="G139" s="3">
        <v>23000</v>
      </c>
      <c r="H139" s="2" t="s">
        <v>161</v>
      </c>
      <c r="I139" s="2" t="s">
        <v>334</v>
      </c>
      <c r="J139" s="2">
        <v>16</v>
      </c>
      <c r="K139" s="2" t="s">
        <v>27</v>
      </c>
      <c r="L139" s="2" t="s">
        <v>22</v>
      </c>
      <c r="M139" s="2">
        <v>4</v>
      </c>
    </row>
    <row r="140" spans="1:13" x14ac:dyDescent="0.3">
      <c r="A140" s="4">
        <v>138</v>
      </c>
      <c r="B140" s="4" t="s">
        <v>339</v>
      </c>
      <c r="C140" s="4" t="s">
        <v>340</v>
      </c>
      <c r="D140" s="4" t="s">
        <v>90</v>
      </c>
      <c r="E140" s="4" t="s">
        <v>39</v>
      </c>
      <c r="F140" s="4" t="s">
        <v>113</v>
      </c>
      <c r="G140" s="5">
        <v>49000</v>
      </c>
      <c r="H140" s="4" t="s">
        <v>32</v>
      </c>
      <c r="I140" s="4" t="s">
        <v>334</v>
      </c>
      <c r="J140" s="4">
        <v>7</v>
      </c>
      <c r="K140" s="4" t="s">
        <v>21</v>
      </c>
      <c r="L140" s="4" t="s">
        <v>22</v>
      </c>
      <c r="M140" s="4">
        <v>1</v>
      </c>
    </row>
    <row r="141" spans="1:13" x14ac:dyDescent="0.3">
      <c r="A141" s="2">
        <v>139</v>
      </c>
      <c r="B141" s="2" t="s">
        <v>341</v>
      </c>
      <c r="C141" s="2" t="s">
        <v>342</v>
      </c>
      <c r="D141" s="2" t="s">
        <v>30</v>
      </c>
      <c r="E141" s="2" t="s">
        <v>25</v>
      </c>
      <c r="F141" s="2" t="s">
        <v>118</v>
      </c>
      <c r="G141" s="3">
        <v>29000</v>
      </c>
      <c r="H141" s="2" t="s">
        <v>36</v>
      </c>
      <c r="I141" s="2" t="s">
        <v>334</v>
      </c>
      <c r="J141" s="2">
        <v>15</v>
      </c>
      <c r="K141" s="2" t="s">
        <v>27</v>
      </c>
      <c r="L141" s="2" t="s">
        <v>22</v>
      </c>
      <c r="M141" s="2">
        <v>6</v>
      </c>
    </row>
    <row r="142" spans="1:13" x14ac:dyDescent="0.3">
      <c r="A142" s="4">
        <v>140</v>
      </c>
      <c r="B142" s="4" t="s">
        <v>343</v>
      </c>
      <c r="C142" s="4" t="s">
        <v>344</v>
      </c>
      <c r="D142" s="4" t="s">
        <v>16</v>
      </c>
      <c r="E142" s="4" t="s">
        <v>50</v>
      </c>
      <c r="F142" s="4" t="s">
        <v>18</v>
      </c>
      <c r="G142" s="5">
        <v>83000</v>
      </c>
      <c r="H142" s="4" t="s">
        <v>32</v>
      </c>
      <c r="I142" s="4" t="s">
        <v>334</v>
      </c>
      <c r="J142" s="4">
        <v>18</v>
      </c>
      <c r="K142" s="4" t="s">
        <v>21</v>
      </c>
      <c r="L142" s="4" t="s">
        <v>22</v>
      </c>
      <c r="M142" s="4">
        <v>12</v>
      </c>
    </row>
    <row r="143" spans="1:13" x14ac:dyDescent="0.3">
      <c r="A143" s="2">
        <v>141</v>
      </c>
      <c r="B143" s="2" t="s">
        <v>345</v>
      </c>
      <c r="C143" s="2" t="s">
        <v>346</v>
      </c>
      <c r="D143" s="2" t="s">
        <v>59</v>
      </c>
      <c r="E143" s="2" t="s">
        <v>60</v>
      </c>
      <c r="F143" s="2" t="s">
        <v>85</v>
      </c>
      <c r="G143" s="3">
        <v>36000</v>
      </c>
      <c r="H143" s="2" t="s">
        <v>32</v>
      </c>
      <c r="I143" s="2" t="s">
        <v>334</v>
      </c>
      <c r="J143" s="2">
        <v>1</v>
      </c>
      <c r="K143" s="2" t="s">
        <v>27</v>
      </c>
      <c r="L143" s="2" t="s">
        <v>57</v>
      </c>
      <c r="M143" s="2">
        <v>3</v>
      </c>
    </row>
    <row r="144" spans="1:13" x14ac:dyDescent="0.3">
      <c r="A144" s="4">
        <v>142</v>
      </c>
      <c r="B144" s="4" t="s">
        <v>347</v>
      </c>
      <c r="C144" s="4" t="s">
        <v>348</v>
      </c>
      <c r="D144" s="4" t="s">
        <v>101</v>
      </c>
      <c r="E144" s="4" t="s">
        <v>60</v>
      </c>
      <c r="F144" s="4" t="s">
        <v>349</v>
      </c>
      <c r="G144" s="5">
        <v>49000</v>
      </c>
      <c r="H144" s="4" t="s">
        <v>36</v>
      </c>
      <c r="I144" s="4" t="s">
        <v>334</v>
      </c>
      <c r="J144" s="4">
        <v>13</v>
      </c>
      <c r="K144" s="4" t="s">
        <v>21</v>
      </c>
      <c r="L144" s="4" t="s">
        <v>46</v>
      </c>
      <c r="M144" s="4">
        <v>10</v>
      </c>
    </row>
    <row r="145" spans="1:13" x14ac:dyDescent="0.3">
      <c r="A145" s="2">
        <v>143</v>
      </c>
      <c r="B145" s="2" t="s">
        <v>350</v>
      </c>
      <c r="C145" s="2" t="s">
        <v>351</v>
      </c>
      <c r="D145" s="2" t="s">
        <v>59</v>
      </c>
      <c r="E145" s="2" t="s">
        <v>17</v>
      </c>
      <c r="F145" s="2" t="s">
        <v>85</v>
      </c>
      <c r="G145" s="3">
        <v>47000</v>
      </c>
      <c r="H145" s="2" t="s">
        <v>19</v>
      </c>
      <c r="I145" s="2" t="s">
        <v>334</v>
      </c>
      <c r="J145" s="2">
        <v>2</v>
      </c>
      <c r="K145" s="2" t="s">
        <v>21</v>
      </c>
      <c r="L145" s="2" t="s">
        <v>22</v>
      </c>
      <c r="M145" s="2">
        <v>1</v>
      </c>
    </row>
    <row r="146" spans="1:13" x14ac:dyDescent="0.3">
      <c r="A146" s="4">
        <v>144</v>
      </c>
      <c r="B146" s="4" t="s">
        <v>352</v>
      </c>
      <c r="C146" s="4" t="s">
        <v>353</v>
      </c>
      <c r="D146" s="4" t="s">
        <v>30</v>
      </c>
      <c r="E146" s="4" t="s">
        <v>45</v>
      </c>
      <c r="F146" s="4" t="s">
        <v>31</v>
      </c>
      <c r="G146" s="5">
        <v>67000</v>
      </c>
      <c r="H146" s="4" t="s">
        <v>19</v>
      </c>
      <c r="I146" s="4" t="s">
        <v>334</v>
      </c>
      <c r="J146" s="4">
        <v>5</v>
      </c>
      <c r="K146" s="4" t="s">
        <v>27</v>
      </c>
      <c r="L146" s="4" t="s">
        <v>22</v>
      </c>
      <c r="M146" s="4">
        <v>10</v>
      </c>
    </row>
    <row r="147" spans="1:13" x14ac:dyDescent="0.3">
      <c r="A147" s="2">
        <v>145</v>
      </c>
      <c r="B147" s="2" t="s">
        <v>354</v>
      </c>
      <c r="C147" s="2" t="s">
        <v>355</v>
      </c>
      <c r="D147" s="2" t="s">
        <v>49</v>
      </c>
      <c r="E147" s="2" t="s">
        <v>25</v>
      </c>
      <c r="F147" s="2" t="s">
        <v>51</v>
      </c>
      <c r="G147" s="3">
        <v>61000</v>
      </c>
      <c r="H147" s="2" t="s">
        <v>26</v>
      </c>
      <c r="I147" s="2" t="s">
        <v>334</v>
      </c>
      <c r="J147" s="2">
        <v>0</v>
      </c>
      <c r="K147" s="2" t="s">
        <v>27</v>
      </c>
      <c r="L147" s="2" t="s">
        <v>22</v>
      </c>
      <c r="M147" s="2">
        <v>10</v>
      </c>
    </row>
    <row r="148" spans="1:13" x14ac:dyDescent="0.3">
      <c r="A148" s="4">
        <v>146</v>
      </c>
      <c r="B148" s="4" t="s">
        <v>356</v>
      </c>
      <c r="C148" s="4" t="s">
        <v>357</v>
      </c>
      <c r="D148" s="4" t="s">
        <v>54</v>
      </c>
      <c r="E148" s="4" t="s">
        <v>73</v>
      </c>
      <c r="F148" s="4" t="s">
        <v>200</v>
      </c>
      <c r="G148" s="5">
        <v>30000</v>
      </c>
      <c r="H148" s="4" t="s">
        <v>32</v>
      </c>
      <c r="I148" s="4" t="s">
        <v>334</v>
      </c>
      <c r="J148" s="4">
        <v>8</v>
      </c>
      <c r="K148" s="4" t="s">
        <v>27</v>
      </c>
      <c r="L148" s="4" t="s">
        <v>22</v>
      </c>
      <c r="M148" s="4">
        <v>4</v>
      </c>
    </row>
    <row r="149" spans="1:13" x14ac:dyDescent="0.3">
      <c r="A149" s="2">
        <v>147</v>
      </c>
      <c r="B149" s="2" t="s">
        <v>358</v>
      </c>
      <c r="C149" s="2" t="s">
        <v>359</v>
      </c>
      <c r="D149" s="2" t="s">
        <v>30</v>
      </c>
      <c r="E149" s="2" t="s">
        <v>50</v>
      </c>
      <c r="F149" s="2" t="s">
        <v>35</v>
      </c>
      <c r="G149" s="3">
        <v>34000</v>
      </c>
      <c r="H149" s="2" t="s">
        <v>36</v>
      </c>
      <c r="I149" s="2" t="s">
        <v>334</v>
      </c>
      <c r="J149" s="2">
        <v>7</v>
      </c>
      <c r="K149" s="2" t="s">
        <v>27</v>
      </c>
      <c r="L149" s="2" t="s">
        <v>22</v>
      </c>
      <c r="M149" s="2">
        <v>7</v>
      </c>
    </row>
    <row r="150" spans="1:13" x14ac:dyDescent="0.3">
      <c r="A150" s="4">
        <v>148</v>
      </c>
      <c r="B150" s="4" t="s">
        <v>360</v>
      </c>
      <c r="C150" s="4" t="s">
        <v>361</v>
      </c>
      <c r="D150" s="4" t="s">
        <v>90</v>
      </c>
      <c r="E150" s="4" t="s">
        <v>50</v>
      </c>
      <c r="F150" s="4" t="s">
        <v>113</v>
      </c>
      <c r="G150" s="5">
        <v>44000</v>
      </c>
      <c r="H150" s="4" t="s">
        <v>32</v>
      </c>
      <c r="I150" s="4" t="s">
        <v>334</v>
      </c>
      <c r="J150" s="4">
        <v>14</v>
      </c>
      <c r="K150" s="4" t="s">
        <v>27</v>
      </c>
      <c r="L150" s="4" t="s">
        <v>46</v>
      </c>
      <c r="M150" s="4">
        <v>8</v>
      </c>
    </row>
    <row r="151" spans="1:13" x14ac:dyDescent="0.3">
      <c r="A151" s="2">
        <v>149</v>
      </c>
      <c r="B151" s="2" t="s">
        <v>362</v>
      </c>
      <c r="C151" s="2" t="s">
        <v>363</v>
      </c>
      <c r="D151" s="2" t="s">
        <v>59</v>
      </c>
      <c r="E151" s="2" t="s">
        <v>39</v>
      </c>
      <c r="F151" s="2" t="s">
        <v>61</v>
      </c>
      <c r="G151" s="3">
        <v>37000</v>
      </c>
      <c r="H151" s="2" t="s">
        <v>36</v>
      </c>
      <c r="I151" s="2" t="s">
        <v>334</v>
      </c>
      <c r="J151" s="2">
        <v>9</v>
      </c>
      <c r="K151" s="2" t="s">
        <v>21</v>
      </c>
      <c r="L151" s="2" t="s">
        <v>57</v>
      </c>
      <c r="M151" s="2">
        <v>12</v>
      </c>
    </row>
    <row r="152" spans="1:13" x14ac:dyDescent="0.3">
      <c r="A152" s="4">
        <v>150</v>
      </c>
      <c r="B152" s="4" t="s">
        <v>364</v>
      </c>
      <c r="C152" s="4" t="s">
        <v>251</v>
      </c>
      <c r="D152" s="4" t="s">
        <v>30</v>
      </c>
      <c r="E152" s="4" t="s">
        <v>55</v>
      </c>
      <c r="F152" s="4" t="s">
        <v>118</v>
      </c>
      <c r="G152" s="5">
        <v>68000</v>
      </c>
      <c r="H152" s="4" t="s">
        <v>32</v>
      </c>
      <c r="I152" s="4" t="s">
        <v>334</v>
      </c>
      <c r="J152" s="4">
        <v>17</v>
      </c>
      <c r="K152" s="4" t="s">
        <v>27</v>
      </c>
      <c r="L152" s="4" t="s">
        <v>46</v>
      </c>
      <c r="M152" s="4">
        <v>6</v>
      </c>
    </row>
    <row r="153" spans="1:13" x14ac:dyDescent="0.3">
      <c r="A153" s="2">
        <v>151</v>
      </c>
      <c r="B153" s="2" t="s">
        <v>365</v>
      </c>
      <c r="C153" s="2" t="s">
        <v>366</v>
      </c>
      <c r="D153" s="2" t="s">
        <v>59</v>
      </c>
      <c r="E153" s="2" t="s">
        <v>17</v>
      </c>
      <c r="F153" s="2" t="s">
        <v>85</v>
      </c>
      <c r="G153" s="3">
        <v>29000</v>
      </c>
      <c r="H153" s="2" t="s">
        <v>26</v>
      </c>
      <c r="I153" s="2" t="s">
        <v>334</v>
      </c>
      <c r="J153" s="2">
        <v>1</v>
      </c>
      <c r="K153" s="2" t="s">
        <v>21</v>
      </c>
      <c r="L153" s="2" t="s">
        <v>22</v>
      </c>
      <c r="M153" s="2">
        <v>2</v>
      </c>
    </row>
    <row r="154" spans="1:13" x14ac:dyDescent="0.3">
      <c r="A154" s="4">
        <v>152</v>
      </c>
      <c r="B154" s="4" t="s">
        <v>367</v>
      </c>
      <c r="C154" s="4" t="s">
        <v>368</v>
      </c>
      <c r="D154" s="4" t="s">
        <v>101</v>
      </c>
      <c r="E154" s="4" t="s">
        <v>39</v>
      </c>
      <c r="F154" s="4" t="s">
        <v>126</v>
      </c>
      <c r="G154" s="5">
        <v>48000</v>
      </c>
      <c r="H154" s="4" t="s">
        <v>36</v>
      </c>
      <c r="I154" s="4" t="s">
        <v>334</v>
      </c>
      <c r="J154" s="4">
        <v>7</v>
      </c>
      <c r="K154" s="4" t="s">
        <v>27</v>
      </c>
      <c r="L154" s="4" t="s">
        <v>57</v>
      </c>
      <c r="M154" s="4">
        <v>12</v>
      </c>
    </row>
    <row r="155" spans="1:13" x14ac:dyDescent="0.3">
      <c r="A155" s="2">
        <v>153</v>
      </c>
      <c r="B155" s="2" t="s">
        <v>369</v>
      </c>
      <c r="C155" s="2" t="s">
        <v>370</v>
      </c>
      <c r="D155" s="2" t="s">
        <v>66</v>
      </c>
      <c r="E155" s="2" t="s">
        <v>55</v>
      </c>
      <c r="F155" s="2" t="s">
        <v>279</v>
      </c>
      <c r="G155" s="3">
        <v>92000</v>
      </c>
      <c r="H155" s="2" t="s">
        <v>19</v>
      </c>
      <c r="I155" s="2" t="s">
        <v>334</v>
      </c>
      <c r="J155" s="2">
        <v>14</v>
      </c>
      <c r="K155" s="2" t="s">
        <v>27</v>
      </c>
      <c r="L155" s="2" t="s">
        <v>22</v>
      </c>
      <c r="M155" s="2">
        <v>4</v>
      </c>
    </row>
    <row r="156" spans="1:13" x14ac:dyDescent="0.3">
      <c r="A156" s="4">
        <v>154</v>
      </c>
      <c r="B156" s="4" t="s">
        <v>371</v>
      </c>
      <c r="C156" s="4" t="s">
        <v>372</v>
      </c>
      <c r="D156" s="4" t="s">
        <v>66</v>
      </c>
      <c r="E156" s="4" t="s">
        <v>39</v>
      </c>
      <c r="F156" s="4" t="s">
        <v>67</v>
      </c>
      <c r="G156" s="5">
        <v>83000</v>
      </c>
      <c r="H156" s="4" t="s">
        <v>36</v>
      </c>
      <c r="I156" s="4" t="s">
        <v>334</v>
      </c>
      <c r="J156" s="4">
        <v>5</v>
      </c>
      <c r="K156" s="4" t="s">
        <v>21</v>
      </c>
      <c r="L156" s="4" t="s">
        <v>22</v>
      </c>
      <c r="M156" s="4">
        <v>4</v>
      </c>
    </row>
    <row r="157" spans="1:13" x14ac:dyDescent="0.3">
      <c r="A157" s="2">
        <v>155</v>
      </c>
      <c r="B157" s="2" t="s">
        <v>373</v>
      </c>
      <c r="C157" s="2" t="s">
        <v>374</v>
      </c>
      <c r="D157" s="2" t="s">
        <v>101</v>
      </c>
      <c r="E157" s="2" t="s">
        <v>17</v>
      </c>
      <c r="F157" s="2" t="s">
        <v>349</v>
      </c>
      <c r="G157" s="3">
        <v>77000</v>
      </c>
      <c r="H157" s="2" t="s">
        <v>19</v>
      </c>
      <c r="I157" s="2" t="s">
        <v>334</v>
      </c>
      <c r="J157" s="2">
        <v>1</v>
      </c>
      <c r="K157" s="2" t="s">
        <v>21</v>
      </c>
      <c r="L157" s="2" t="s">
        <v>22</v>
      </c>
      <c r="M157" s="2">
        <v>10</v>
      </c>
    </row>
    <row r="158" spans="1:13" x14ac:dyDescent="0.3">
      <c r="A158" s="4">
        <v>156</v>
      </c>
      <c r="B158" s="4" t="s">
        <v>375</v>
      </c>
      <c r="C158" s="4" t="s">
        <v>376</v>
      </c>
      <c r="D158" s="4" t="s">
        <v>16</v>
      </c>
      <c r="E158" s="4" t="s">
        <v>17</v>
      </c>
      <c r="F158" s="4" t="s">
        <v>74</v>
      </c>
      <c r="G158" s="5">
        <v>100000</v>
      </c>
      <c r="H158" s="4" t="s">
        <v>32</v>
      </c>
      <c r="I158" s="4" t="s">
        <v>334</v>
      </c>
      <c r="J158" s="4">
        <v>18</v>
      </c>
      <c r="K158" s="4" t="s">
        <v>27</v>
      </c>
      <c r="L158" s="4" t="s">
        <v>22</v>
      </c>
      <c r="M158" s="4">
        <v>0</v>
      </c>
    </row>
    <row r="159" spans="1:13" x14ac:dyDescent="0.3">
      <c r="A159" s="2">
        <v>157</v>
      </c>
      <c r="B159" s="2" t="s">
        <v>377</v>
      </c>
      <c r="C159" s="2" t="s">
        <v>378</v>
      </c>
      <c r="D159" s="2" t="s">
        <v>66</v>
      </c>
      <c r="E159" s="2" t="s">
        <v>60</v>
      </c>
      <c r="F159" s="2" t="s">
        <v>153</v>
      </c>
      <c r="G159" s="3">
        <v>71000</v>
      </c>
      <c r="H159" s="2" t="s">
        <v>32</v>
      </c>
      <c r="I159" s="2" t="s">
        <v>334</v>
      </c>
      <c r="J159" s="2">
        <v>15</v>
      </c>
      <c r="K159" s="2" t="s">
        <v>21</v>
      </c>
      <c r="L159" s="2" t="s">
        <v>22</v>
      </c>
      <c r="M159" s="2">
        <v>11</v>
      </c>
    </row>
    <row r="160" spans="1:13" x14ac:dyDescent="0.3">
      <c r="A160" s="4">
        <v>158</v>
      </c>
      <c r="B160" s="4" t="s">
        <v>379</v>
      </c>
      <c r="C160" s="4" t="s">
        <v>380</v>
      </c>
      <c r="D160" s="4" t="s">
        <v>90</v>
      </c>
      <c r="E160" s="4" t="s">
        <v>73</v>
      </c>
      <c r="F160" s="4" t="s">
        <v>105</v>
      </c>
      <c r="G160" s="5">
        <v>25000</v>
      </c>
      <c r="H160" s="4" t="s">
        <v>36</v>
      </c>
      <c r="I160" s="4" t="s">
        <v>334</v>
      </c>
      <c r="J160" s="4">
        <v>7</v>
      </c>
      <c r="K160" s="4" t="s">
        <v>21</v>
      </c>
      <c r="L160" s="4" t="s">
        <v>22</v>
      </c>
      <c r="M160" s="4">
        <v>12</v>
      </c>
    </row>
    <row r="161" spans="1:13" x14ac:dyDescent="0.3">
      <c r="A161" s="2">
        <v>159</v>
      </c>
      <c r="B161" s="2" t="s">
        <v>381</v>
      </c>
      <c r="C161" s="2" t="s">
        <v>382</v>
      </c>
      <c r="D161" s="2" t="s">
        <v>49</v>
      </c>
      <c r="E161" s="2" t="s">
        <v>45</v>
      </c>
      <c r="F161" s="2" t="s">
        <v>108</v>
      </c>
      <c r="G161" s="3">
        <v>33000</v>
      </c>
      <c r="H161" s="2" t="s">
        <v>36</v>
      </c>
      <c r="I161" s="2" t="s">
        <v>334</v>
      </c>
      <c r="J161" s="2">
        <v>0</v>
      </c>
      <c r="K161" s="2" t="s">
        <v>21</v>
      </c>
      <c r="L161" s="2" t="s">
        <v>22</v>
      </c>
      <c r="M161" s="2">
        <v>11</v>
      </c>
    </row>
    <row r="162" spans="1:13" x14ac:dyDescent="0.3">
      <c r="A162" s="4">
        <v>160</v>
      </c>
      <c r="B162" s="4" t="s">
        <v>383</v>
      </c>
      <c r="C162" s="4" t="s">
        <v>216</v>
      </c>
      <c r="D162" s="4" t="s">
        <v>101</v>
      </c>
      <c r="E162" s="4" t="s">
        <v>39</v>
      </c>
      <c r="F162" s="4" t="s">
        <v>102</v>
      </c>
      <c r="G162" s="5">
        <v>88000</v>
      </c>
      <c r="H162" s="4" t="s">
        <v>19</v>
      </c>
      <c r="I162" s="4" t="s">
        <v>334</v>
      </c>
      <c r="J162" s="4">
        <v>18</v>
      </c>
      <c r="K162" s="4" t="s">
        <v>21</v>
      </c>
      <c r="L162" s="4" t="s">
        <v>46</v>
      </c>
      <c r="M162" s="4">
        <v>12</v>
      </c>
    </row>
    <row r="163" spans="1:13" x14ac:dyDescent="0.3">
      <c r="A163" s="2">
        <v>161</v>
      </c>
      <c r="B163" s="2" t="s">
        <v>384</v>
      </c>
      <c r="C163" s="2" t="s">
        <v>385</v>
      </c>
      <c r="D163" s="2" t="s">
        <v>54</v>
      </c>
      <c r="E163" s="2" t="s">
        <v>60</v>
      </c>
      <c r="F163" s="2" t="s">
        <v>56</v>
      </c>
      <c r="G163" s="3">
        <v>28000</v>
      </c>
      <c r="H163" s="2" t="s">
        <v>19</v>
      </c>
      <c r="I163" s="2" t="s">
        <v>334</v>
      </c>
      <c r="J163" s="2">
        <v>11</v>
      </c>
      <c r="K163" s="2" t="s">
        <v>27</v>
      </c>
      <c r="L163" s="2" t="s">
        <v>57</v>
      </c>
      <c r="M163" s="2">
        <v>1</v>
      </c>
    </row>
    <row r="164" spans="1:13" x14ac:dyDescent="0.3">
      <c r="A164" s="4">
        <v>162</v>
      </c>
      <c r="B164" s="4" t="s">
        <v>386</v>
      </c>
      <c r="C164" s="4" t="s">
        <v>276</v>
      </c>
      <c r="D164" s="4" t="s">
        <v>16</v>
      </c>
      <c r="E164" s="4" t="s">
        <v>45</v>
      </c>
      <c r="F164" s="4" t="s">
        <v>18</v>
      </c>
      <c r="G164" s="5">
        <v>34000</v>
      </c>
      <c r="H164" s="4" t="s">
        <v>32</v>
      </c>
      <c r="I164" s="4" t="s">
        <v>334</v>
      </c>
      <c r="J164" s="4">
        <v>9</v>
      </c>
      <c r="K164" s="4" t="s">
        <v>27</v>
      </c>
      <c r="L164" s="4" t="s">
        <v>22</v>
      </c>
      <c r="M164" s="4">
        <v>4</v>
      </c>
    </row>
    <row r="165" spans="1:13" x14ac:dyDescent="0.3">
      <c r="A165" s="2">
        <v>163</v>
      </c>
      <c r="B165" s="2" t="s">
        <v>387</v>
      </c>
      <c r="C165" s="2" t="s">
        <v>388</v>
      </c>
      <c r="D165" s="2" t="s">
        <v>54</v>
      </c>
      <c r="E165" s="2" t="s">
        <v>45</v>
      </c>
      <c r="F165" s="2" t="s">
        <v>158</v>
      </c>
      <c r="G165" s="3">
        <v>51000</v>
      </c>
      <c r="H165" s="2" t="s">
        <v>19</v>
      </c>
      <c r="I165" s="2" t="s">
        <v>334</v>
      </c>
      <c r="J165" s="2">
        <v>17</v>
      </c>
      <c r="K165" s="2" t="s">
        <v>27</v>
      </c>
      <c r="L165" s="2" t="s">
        <v>46</v>
      </c>
      <c r="M165" s="2">
        <v>12</v>
      </c>
    </row>
    <row r="166" spans="1:13" x14ac:dyDescent="0.3">
      <c r="A166" s="4">
        <v>164</v>
      </c>
      <c r="B166" s="4" t="s">
        <v>389</v>
      </c>
      <c r="C166" s="4" t="s">
        <v>235</v>
      </c>
      <c r="D166" s="4" t="s">
        <v>90</v>
      </c>
      <c r="E166" s="4" t="s">
        <v>73</v>
      </c>
      <c r="F166" s="4" t="s">
        <v>91</v>
      </c>
      <c r="G166" s="5">
        <v>21000</v>
      </c>
      <c r="H166" s="4" t="s">
        <v>36</v>
      </c>
      <c r="I166" s="4" t="s">
        <v>334</v>
      </c>
      <c r="J166" s="4">
        <v>15</v>
      </c>
      <c r="K166" s="4" t="s">
        <v>21</v>
      </c>
      <c r="L166" s="4" t="s">
        <v>22</v>
      </c>
      <c r="M166" s="4">
        <v>11</v>
      </c>
    </row>
    <row r="167" spans="1:13" x14ac:dyDescent="0.3">
      <c r="A167" s="2">
        <v>165</v>
      </c>
      <c r="B167" s="2" t="s">
        <v>390</v>
      </c>
      <c r="C167" s="2" t="s">
        <v>391</v>
      </c>
      <c r="D167" s="2" t="s">
        <v>49</v>
      </c>
      <c r="E167" s="2" t="s">
        <v>45</v>
      </c>
      <c r="F167" s="2" t="s">
        <v>108</v>
      </c>
      <c r="G167" s="3">
        <v>21000</v>
      </c>
      <c r="H167" s="2" t="s">
        <v>36</v>
      </c>
      <c r="I167" s="2" t="s">
        <v>334</v>
      </c>
      <c r="J167" s="2">
        <v>17</v>
      </c>
      <c r="K167" s="2" t="s">
        <v>27</v>
      </c>
      <c r="L167" s="2" t="s">
        <v>46</v>
      </c>
      <c r="M167" s="2">
        <v>11</v>
      </c>
    </row>
    <row r="168" spans="1:13" x14ac:dyDescent="0.3">
      <c r="A168" s="4">
        <v>166</v>
      </c>
      <c r="B168" s="4" t="s">
        <v>392</v>
      </c>
      <c r="C168" s="4" t="s">
        <v>393</v>
      </c>
      <c r="D168" s="4" t="s">
        <v>101</v>
      </c>
      <c r="E168" s="4" t="s">
        <v>60</v>
      </c>
      <c r="F168" s="4" t="s">
        <v>126</v>
      </c>
      <c r="G168" s="5">
        <v>141000</v>
      </c>
      <c r="H168" s="4" t="s">
        <v>19</v>
      </c>
      <c r="I168" s="4" t="s">
        <v>334</v>
      </c>
      <c r="J168" s="4">
        <v>0</v>
      </c>
      <c r="K168" s="4" t="s">
        <v>21</v>
      </c>
      <c r="L168" s="4" t="s">
        <v>22</v>
      </c>
      <c r="M168" s="4">
        <v>10</v>
      </c>
    </row>
    <row r="169" spans="1:13" x14ac:dyDescent="0.3">
      <c r="A169" s="2">
        <v>167</v>
      </c>
      <c r="B169" s="2" t="s">
        <v>394</v>
      </c>
      <c r="C169" s="2" t="s">
        <v>294</v>
      </c>
      <c r="D169" s="2" t="s">
        <v>54</v>
      </c>
      <c r="E169" s="2" t="s">
        <v>39</v>
      </c>
      <c r="F169" s="2" t="s">
        <v>200</v>
      </c>
      <c r="G169" s="3">
        <v>70000</v>
      </c>
      <c r="H169" s="2" t="s">
        <v>19</v>
      </c>
      <c r="I169" s="2" t="s">
        <v>334</v>
      </c>
      <c r="J169" s="2">
        <v>16</v>
      </c>
      <c r="K169" s="2" t="s">
        <v>21</v>
      </c>
      <c r="L169" s="2" t="s">
        <v>46</v>
      </c>
      <c r="M169" s="2">
        <v>6</v>
      </c>
    </row>
    <row r="170" spans="1:13" x14ac:dyDescent="0.3">
      <c r="A170" s="4">
        <v>168</v>
      </c>
      <c r="B170" s="4" t="s">
        <v>395</v>
      </c>
      <c r="C170" s="4" t="s">
        <v>396</v>
      </c>
      <c r="D170" s="4" t="s">
        <v>54</v>
      </c>
      <c r="E170" s="4" t="s">
        <v>17</v>
      </c>
      <c r="F170" s="4" t="s">
        <v>158</v>
      </c>
      <c r="G170" s="5">
        <v>18000</v>
      </c>
      <c r="H170" s="4" t="s">
        <v>32</v>
      </c>
      <c r="I170" s="4" t="s">
        <v>334</v>
      </c>
      <c r="J170" s="4">
        <v>6</v>
      </c>
      <c r="K170" s="4" t="s">
        <v>27</v>
      </c>
      <c r="L170" s="4" t="s">
        <v>22</v>
      </c>
      <c r="M170" s="4">
        <v>12</v>
      </c>
    </row>
    <row r="171" spans="1:13" x14ac:dyDescent="0.3">
      <c r="A171" s="2">
        <v>169</v>
      </c>
      <c r="B171" s="2" t="s">
        <v>397</v>
      </c>
      <c r="C171" s="2" t="s">
        <v>398</v>
      </c>
      <c r="D171" s="2" t="s">
        <v>66</v>
      </c>
      <c r="E171" s="2" t="s">
        <v>50</v>
      </c>
      <c r="F171" s="2" t="s">
        <v>279</v>
      </c>
      <c r="G171" s="3">
        <v>100000</v>
      </c>
      <c r="H171" s="2" t="s">
        <v>32</v>
      </c>
      <c r="I171" s="2" t="s">
        <v>334</v>
      </c>
      <c r="J171" s="2">
        <v>1</v>
      </c>
      <c r="K171" s="2" t="s">
        <v>21</v>
      </c>
      <c r="L171" s="2" t="s">
        <v>57</v>
      </c>
      <c r="M171" s="2">
        <v>6</v>
      </c>
    </row>
    <row r="172" spans="1:13" x14ac:dyDescent="0.3">
      <c r="A172" s="4">
        <v>170</v>
      </c>
      <c r="B172" s="4" t="s">
        <v>399</v>
      </c>
      <c r="C172" s="4" t="s">
        <v>400</v>
      </c>
      <c r="D172" s="4" t="s">
        <v>90</v>
      </c>
      <c r="E172" s="4" t="s">
        <v>45</v>
      </c>
      <c r="F172" s="4" t="s">
        <v>91</v>
      </c>
      <c r="G172" s="5">
        <v>32000</v>
      </c>
      <c r="H172" s="4" t="s">
        <v>32</v>
      </c>
      <c r="I172" s="4" t="s">
        <v>334</v>
      </c>
      <c r="J172" s="4">
        <v>12</v>
      </c>
      <c r="K172" s="4" t="s">
        <v>27</v>
      </c>
      <c r="L172" s="4" t="s">
        <v>46</v>
      </c>
      <c r="M172" s="4">
        <v>6</v>
      </c>
    </row>
    <row r="173" spans="1:13" x14ac:dyDescent="0.3">
      <c r="A173" s="2">
        <v>171</v>
      </c>
      <c r="B173" s="2" t="s">
        <v>401</v>
      </c>
      <c r="C173" s="2" t="s">
        <v>402</v>
      </c>
      <c r="D173" s="2" t="s">
        <v>66</v>
      </c>
      <c r="E173" s="2" t="s">
        <v>25</v>
      </c>
      <c r="F173" s="2" t="s">
        <v>153</v>
      </c>
      <c r="G173" s="3">
        <v>93000</v>
      </c>
      <c r="H173" s="2" t="s">
        <v>19</v>
      </c>
      <c r="I173" s="2" t="s">
        <v>334</v>
      </c>
      <c r="J173" s="2">
        <v>14</v>
      </c>
      <c r="K173" s="2" t="s">
        <v>21</v>
      </c>
      <c r="L173" s="2" t="s">
        <v>22</v>
      </c>
      <c r="M173" s="2">
        <v>11</v>
      </c>
    </row>
    <row r="174" spans="1:13" x14ac:dyDescent="0.3">
      <c r="A174" s="4">
        <v>172</v>
      </c>
      <c r="B174" s="4" t="s">
        <v>403</v>
      </c>
      <c r="C174" s="4" t="s">
        <v>142</v>
      </c>
      <c r="D174" s="4" t="s">
        <v>66</v>
      </c>
      <c r="E174" s="4" t="s">
        <v>39</v>
      </c>
      <c r="F174" s="4" t="s">
        <v>279</v>
      </c>
      <c r="G174" s="5">
        <v>55000</v>
      </c>
      <c r="H174" s="4" t="s">
        <v>19</v>
      </c>
      <c r="I174" s="4" t="s">
        <v>334</v>
      </c>
      <c r="J174" s="4">
        <v>15</v>
      </c>
      <c r="K174" s="4" t="s">
        <v>21</v>
      </c>
      <c r="L174" s="4" t="s">
        <v>57</v>
      </c>
      <c r="M174" s="4">
        <v>10</v>
      </c>
    </row>
    <row r="175" spans="1:13" x14ac:dyDescent="0.3">
      <c r="A175" s="2">
        <v>173</v>
      </c>
      <c r="B175" s="2" t="s">
        <v>404</v>
      </c>
      <c r="C175" s="2" t="s">
        <v>405</v>
      </c>
      <c r="D175" s="2" t="s">
        <v>90</v>
      </c>
      <c r="E175" s="2" t="s">
        <v>60</v>
      </c>
      <c r="F175" s="2" t="s">
        <v>105</v>
      </c>
      <c r="G175" s="3">
        <v>48000</v>
      </c>
      <c r="H175" s="2" t="s">
        <v>36</v>
      </c>
      <c r="I175" s="2" t="s">
        <v>334</v>
      </c>
      <c r="J175" s="2">
        <v>9</v>
      </c>
      <c r="K175" s="2" t="s">
        <v>27</v>
      </c>
      <c r="L175" s="2" t="s">
        <v>57</v>
      </c>
      <c r="M175" s="2">
        <v>9</v>
      </c>
    </row>
    <row r="176" spans="1:13" x14ac:dyDescent="0.3">
      <c r="A176" s="4">
        <v>174</v>
      </c>
      <c r="B176" s="4" t="s">
        <v>406</v>
      </c>
      <c r="C176" s="4" t="s">
        <v>407</v>
      </c>
      <c r="D176" s="4" t="s">
        <v>90</v>
      </c>
      <c r="E176" s="4" t="s">
        <v>60</v>
      </c>
      <c r="F176" s="4" t="s">
        <v>113</v>
      </c>
      <c r="G176" s="5">
        <v>21000</v>
      </c>
      <c r="H176" s="4" t="s">
        <v>19</v>
      </c>
      <c r="I176" s="4" t="s">
        <v>334</v>
      </c>
      <c r="J176" s="4">
        <v>5</v>
      </c>
      <c r="K176" s="4" t="s">
        <v>27</v>
      </c>
      <c r="L176" s="4" t="s">
        <v>22</v>
      </c>
      <c r="M176" s="4">
        <v>12</v>
      </c>
    </row>
    <row r="177" spans="1:13" x14ac:dyDescent="0.3">
      <c r="A177" s="2">
        <v>175</v>
      </c>
      <c r="B177" s="2" t="s">
        <v>408</v>
      </c>
      <c r="C177" s="2" t="s">
        <v>409</v>
      </c>
      <c r="D177" s="2" t="s">
        <v>66</v>
      </c>
      <c r="E177" s="2" t="s">
        <v>73</v>
      </c>
      <c r="F177" s="2" t="s">
        <v>67</v>
      </c>
      <c r="G177" s="3">
        <v>89000</v>
      </c>
      <c r="H177" s="2" t="s">
        <v>36</v>
      </c>
      <c r="I177" s="2" t="s">
        <v>334</v>
      </c>
      <c r="J177" s="2">
        <v>14</v>
      </c>
      <c r="K177" s="2" t="s">
        <v>27</v>
      </c>
      <c r="L177" s="2" t="s">
        <v>22</v>
      </c>
      <c r="M177" s="2">
        <v>3</v>
      </c>
    </row>
    <row r="178" spans="1:13" x14ac:dyDescent="0.3">
      <c r="A178" s="4">
        <v>176</v>
      </c>
      <c r="B178" s="4" t="s">
        <v>410</v>
      </c>
      <c r="C178" s="4" t="s">
        <v>411</v>
      </c>
      <c r="D178" s="4" t="s">
        <v>49</v>
      </c>
      <c r="E178" s="4" t="s">
        <v>25</v>
      </c>
      <c r="F178" s="4" t="s">
        <v>108</v>
      </c>
      <c r="G178" s="5">
        <v>60000</v>
      </c>
      <c r="H178" s="4" t="s">
        <v>19</v>
      </c>
      <c r="I178" s="4" t="s">
        <v>412</v>
      </c>
      <c r="J178" s="4">
        <v>16</v>
      </c>
      <c r="K178" s="4" t="s">
        <v>27</v>
      </c>
      <c r="L178" s="4" t="s">
        <v>22</v>
      </c>
      <c r="M178" s="4">
        <v>2</v>
      </c>
    </row>
    <row r="179" spans="1:13" x14ac:dyDescent="0.3">
      <c r="A179" s="2">
        <v>177</v>
      </c>
      <c r="B179" s="2" t="s">
        <v>413</v>
      </c>
      <c r="C179" s="2" t="s">
        <v>414</v>
      </c>
      <c r="D179" s="2" t="s">
        <v>59</v>
      </c>
      <c r="E179" s="2" t="s">
        <v>39</v>
      </c>
      <c r="F179" s="2" t="s">
        <v>319</v>
      </c>
      <c r="G179" s="3">
        <v>45000</v>
      </c>
      <c r="H179" s="2" t="s">
        <v>26</v>
      </c>
      <c r="I179" s="2" t="s">
        <v>412</v>
      </c>
      <c r="J179" s="2">
        <v>7</v>
      </c>
      <c r="K179" s="2" t="s">
        <v>21</v>
      </c>
      <c r="L179" s="2" t="s">
        <v>22</v>
      </c>
      <c r="M179" s="2">
        <v>8</v>
      </c>
    </row>
    <row r="180" spans="1:13" x14ac:dyDescent="0.3">
      <c r="A180" s="4">
        <v>178</v>
      </c>
      <c r="B180" s="4" t="s">
        <v>415</v>
      </c>
      <c r="C180" s="4" t="s">
        <v>416</v>
      </c>
      <c r="D180" s="4" t="s">
        <v>49</v>
      </c>
      <c r="E180" s="4" t="s">
        <v>17</v>
      </c>
      <c r="F180" s="4" t="s">
        <v>70</v>
      </c>
      <c r="G180" s="5">
        <v>43000</v>
      </c>
      <c r="H180" s="4" t="s">
        <v>19</v>
      </c>
      <c r="I180" s="4" t="s">
        <v>412</v>
      </c>
      <c r="J180" s="4">
        <v>1</v>
      </c>
      <c r="K180" s="4" t="s">
        <v>27</v>
      </c>
      <c r="L180" s="4" t="s">
        <v>22</v>
      </c>
      <c r="M180" s="4">
        <v>11</v>
      </c>
    </row>
    <row r="181" spans="1:13" x14ac:dyDescent="0.3">
      <c r="A181" s="2">
        <v>179</v>
      </c>
      <c r="B181" s="2" t="s">
        <v>417</v>
      </c>
      <c r="C181" s="2" t="s">
        <v>418</v>
      </c>
      <c r="D181" s="2" t="s">
        <v>66</v>
      </c>
      <c r="E181" s="2" t="s">
        <v>39</v>
      </c>
      <c r="F181" s="2" t="s">
        <v>121</v>
      </c>
      <c r="G181" s="3">
        <v>94000</v>
      </c>
      <c r="H181" s="2" t="s">
        <v>32</v>
      </c>
      <c r="I181" s="2" t="s">
        <v>412</v>
      </c>
      <c r="J181" s="2">
        <v>8</v>
      </c>
      <c r="K181" s="2" t="s">
        <v>27</v>
      </c>
      <c r="L181" s="2" t="s">
        <v>22</v>
      </c>
      <c r="M181" s="2">
        <v>9</v>
      </c>
    </row>
    <row r="182" spans="1:13" x14ac:dyDescent="0.3">
      <c r="A182" s="4">
        <v>180</v>
      </c>
      <c r="B182" s="4" t="s">
        <v>419</v>
      </c>
      <c r="C182" s="4" t="s">
        <v>420</v>
      </c>
      <c r="D182" s="4" t="s">
        <v>101</v>
      </c>
      <c r="E182" s="4" t="s">
        <v>60</v>
      </c>
      <c r="F182" s="4" t="s">
        <v>102</v>
      </c>
      <c r="G182" s="5">
        <v>35000</v>
      </c>
      <c r="H182" s="4" t="s">
        <v>26</v>
      </c>
      <c r="I182" s="4" t="s">
        <v>412</v>
      </c>
      <c r="J182" s="4">
        <v>6</v>
      </c>
      <c r="K182" s="4" t="s">
        <v>27</v>
      </c>
      <c r="L182" s="4" t="s">
        <v>22</v>
      </c>
      <c r="M182" s="4">
        <v>8</v>
      </c>
    </row>
    <row r="183" spans="1:13" x14ac:dyDescent="0.3">
      <c r="A183" s="2">
        <v>181</v>
      </c>
      <c r="B183" s="2" t="s">
        <v>421</v>
      </c>
      <c r="C183" s="2" t="s">
        <v>422</v>
      </c>
      <c r="D183" s="2" t="s">
        <v>30</v>
      </c>
      <c r="E183" s="2" t="s">
        <v>39</v>
      </c>
      <c r="F183" s="2" t="s">
        <v>31</v>
      </c>
      <c r="G183" s="3">
        <v>58000</v>
      </c>
      <c r="H183" s="2" t="s">
        <v>36</v>
      </c>
      <c r="I183" s="2" t="s">
        <v>412</v>
      </c>
      <c r="J183" s="2">
        <v>9</v>
      </c>
      <c r="K183" s="2" t="s">
        <v>21</v>
      </c>
      <c r="L183" s="2" t="s">
        <v>22</v>
      </c>
      <c r="M183" s="2">
        <v>2</v>
      </c>
    </row>
    <row r="184" spans="1:13" x14ac:dyDescent="0.3">
      <c r="A184" s="4">
        <v>182</v>
      </c>
      <c r="B184" s="4" t="s">
        <v>423</v>
      </c>
      <c r="C184" s="4" t="s">
        <v>424</v>
      </c>
      <c r="D184" s="4" t="s">
        <v>59</v>
      </c>
      <c r="E184" s="4" t="s">
        <v>25</v>
      </c>
      <c r="F184" s="4" t="s">
        <v>85</v>
      </c>
      <c r="G184" s="5">
        <v>70000</v>
      </c>
      <c r="H184" s="4" t="s">
        <v>19</v>
      </c>
      <c r="I184" s="4" t="s">
        <v>412</v>
      </c>
      <c r="J184" s="4">
        <v>5</v>
      </c>
      <c r="K184" s="4" t="s">
        <v>27</v>
      </c>
      <c r="L184" s="4" t="s">
        <v>57</v>
      </c>
      <c r="M184" s="4">
        <v>10</v>
      </c>
    </row>
    <row r="185" spans="1:13" x14ac:dyDescent="0.3">
      <c r="A185" s="2">
        <v>183</v>
      </c>
      <c r="B185" s="2" t="s">
        <v>425</v>
      </c>
      <c r="C185" s="2" t="s">
        <v>426</v>
      </c>
      <c r="D185" s="2" t="s">
        <v>66</v>
      </c>
      <c r="E185" s="2" t="s">
        <v>50</v>
      </c>
      <c r="F185" s="2" t="s">
        <v>153</v>
      </c>
      <c r="G185" s="3">
        <v>35000</v>
      </c>
      <c r="H185" s="2" t="s">
        <v>36</v>
      </c>
      <c r="I185" s="2" t="s">
        <v>412</v>
      </c>
      <c r="J185" s="2">
        <v>3</v>
      </c>
      <c r="K185" s="2" t="s">
        <v>21</v>
      </c>
      <c r="L185" s="2" t="s">
        <v>46</v>
      </c>
      <c r="M185" s="2">
        <v>1</v>
      </c>
    </row>
    <row r="186" spans="1:13" x14ac:dyDescent="0.3">
      <c r="A186" s="4">
        <v>184</v>
      </c>
      <c r="B186" s="4" t="s">
        <v>427</v>
      </c>
      <c r="C186" s="4" t="s">
        <v>428</v>
      </c>
      <c r="D186" s="4" t="s">
        <v>66</v>
      </c>
      <c r="E186" s="4" t="s">
        <v>39</v>
      </c>
      <c r="F186" s="4" t="s">
        <v>153</v>
      </c>
      <c r="G186" s="5">
        <v>78000</v>
      </c>
      <c r="H186" s="4" t="s">
        <v>36</v>
      </c>
      <c r="I186" s="4" t="s">
        <v>412</v>
      </c>
      <c r="J186" s="4">
        <v>7</v>
      </c>
      <c r="K186" s="4" t="s">
        <v>27</v>
      </c>
      <c r="L186" s="4" t="s">
        <v>57</v>
      </c>
      <c r="M186" s="4">
        <v>1</v>
      </c>
    </row>
    <row r="187" spans="1:13" x14ac:dyDescent="0.3">
      <c r="A187" s="2">
        <v>185</v>
      </c>
      <c r="B187" s="2" t="s">
        <v>429</v>
      </c>
      <c r="C187" s="2" t="s">
        <v>430</v>
      </c>
      <c r="D187" s="2" t="s">
        <v>101</v>
      </c>
      <c r="E187" s="2" t="s">
        <v>50</v>
      </c>
      <c r="F187" s="2" t="s">
        <v>126</v>
      </c>
      <c r="G187" s="3">
        <v>62000</v>
      </c>
      <c r="H187" s="2" t="s">
        <v>36</v>
      </c>
      <c r="I187" s="2" t="s">
        <v>412</v>
      </c>
      <c r="J187" s="2">
        <v>15</v>
      </c>
      <c r="K187" s="2" t="s">
        <v>27</v>
      </c>
      <c r="L187" s="2" t="s">
        <v>22</v>
      </c>
      <c r="M187" s="2">
        <v>2</v>
      </c>
    </row>
    <row r="188" spans="1:13" x14ac:dyDescent="0.3">
      <c r="A188" s="4">
        <v>186</v>
      </c>
      <c r="B188" s="4" t="s">
        <v>431</v>
      </c>
      <c r="C188" s="4" t="s">
        <v>432</v>
      </c>
      <c r="D188" s="4" t="s">
        <v>54</v>
      </c>
      <c r="E188" s="4" t="s">
        <v>73</v>
      </c>
      <c r="F188" s="4" t="s">
        <v>56</v>
      </c>
      <c r="G188" s="5">
        <v>51000</v>
      </c>
      <c r="H188" s="4" t="s">
        <v>36</v>
      </c>
      <c r="I188" s="4" t="s">
        <v>412</v>
      </c>
      <c r="J188" s="4">
        <v>10</v>
      </c>
      <c r="K188" s="4" t="s">
        <v>21</v>
      </c>
      <c r="L188" s="4" t="s">
        <v>57</v>
      </c>
      <c r="M188" s="4">
        <v>3</v>
      </c>
    </row>
    <row r="189" spans="1:13" x14ac:dyDescent="0.3">
      <c r="A189" s="2">
        <v>187</v>
      </c>
      <c r="B189" s="2" t="s">
        <v>433</v>
      </c>
      <c r="C189" s="2" t="s">
        <v>434</v>
      </c>
      <c r="D189" s="2" t="s">
        <v>66</v>
      </c>
      <c r="E189" s="2" t="s">
        <v>39</v>
      </c>
      <c r="F189" s="2" t="s">
        <v>279</v>
      </c>
      <c r="G189" s="3">
        <v>61000</v>
      </c>
      <c r="H189" s="2" t="s">
        <v>32</v>
      </c>
      <c r="I189" s="2" t="s">
        <v>412</v>
      </c>
      <c r="J189" s="2">
        <v>9</v>
      </c>
      <c r="K189" s="2" t="s">
        <v>27</v>
      </c>
      <c r="L189" s="2" t="s">
        <v>46</v>
      </c>
      <c r="M189" s="2">
        <v>8</v>
      </c>
    </row>
    <row r="190" spans="1:13" x14ac:dyDescent="0.3">
      <c r="A190" s="4">
        <v>188</v>
      </c>
      <c r="B190" s="4" t="s">
        <v>435</v>
      </c>
      <c r="C190" s="4" t="s">
        <v>436</v>
      </c>
      <c r="D190" s="4" t="s">
        <v>49</v>
      </c>
      <c r="E190" s="4" t="s">
        <v>17</v>
      </c>
      <c r="F190" s="4" t="s">
        <v>70</v>
      </c>
      <c r="G190" s="5">
        <v>41000</v>
      </c>
      <c r="H190" s="4" t="s">
        <v>36</v>
      </c>
      <c r="I190" s="4" t="s">
        <v>412</v>
      </c>
      <c r="J190" s="4">
        <v>18</v>
      </c>
      <c r="K190" s="4" t="s">
        <v>21</v>
      </c>
      <c r="L190" s="4" t="s">
        <v>22</v>
      </c>
      <c r="M190" s="4">
        <v>8</v>
      </c>
    </row>
    <row r="191" spans="1:13" x14ac:dyDescent="0.3">
      <c r="A191" s="2">
        <v>189</v>
      </c>
      <c r="B191" s="2" t="s">
        <v>437</v>
      </c>
      <c r="C191" s="2" t="s">
        <v>438</v>
      </c>
      <c r="D191" s="2" t="s">
        <v>90</v>
      </c>
      <c r="E191" s="2" t="s">
        <v>50</v>
      </c>
      <c r="F191" s="2" t="s">
        <v>113</v>
      </c>
      <c r="G191" s="3">
        <v>59000</v>
      </c>
      <c r="H191" s="2" t="s">
        <v>36</v>
      </c>
      <c r="I191" s="2" t="s">
        <v>412</v>
      </c>
      <c r="J191" s="2">
        <v>15</v>
      </c>
      <c r="K191" s="2" t="s">
        <v>21</v>
      </c>
      <c r="L191" s="2" t="s">
        <v>22</v>
      </c>
      <c r="M191" s="2">
        <v>1</v>
      </c>
    </row>
    <row r="192" spans="1:13" x14ac:dyDescent="0.3">
      <c r="A192" s="4">
        <v>190</v>
      </c>
      <c r="B192" s="4" t="s">
        <v>439</v>
      </c>
      <c r="C192" s="4" t="s">
        <v>204</v>
      </c>
      <c r="D192" s="4" t="s">
        <v>49</v>
      </c>
      <c r="E192" s="4" t="s">
        <v>60</v>
      </c>
      <c r="F192" s="4" t="s">
        <v>189</v>
      </c>
      <c r="G192" s="5">
        <v>35000</v>
      </c>
      <c r="H192" s="4" t="s">
        <v>19</v>
      </c>
      <c r="I192" s="4" t="s">
        <v>412</v>
      </c>
      <c r="J192" s="4">
        <v>12</v>
      </c>
      <c r="K192" s="4" t="s">
        <v>27</v>
      </c>
      <c r="L192" s="4" t="s">
        <v>22</v>
      </c>
      <c r="M192" s="4">
        <v>9</v>
      </c>
    </row>
    <row r="193" spans="1:13" x14ac:dyDescent="0.3">
      <c r="A193" s="2">
        <v>191</v>
      </c>
      <c r="B193" s="2" t="s">
        <v>440</v>
      </c>
      <c r="C193" s="2" t="s">
        <v>398</v>
      </c>
      <c r="D193" s="2" t="s">
        <v>49</v>
      </c>
      <c r="E193" s="2" t="s">
        <v>39</v>
      </c>
      <c r="F193" s="2" t="s">
        <v>108</v>
      </c>
      <c r="G193" s="3">
        <v>64000</v>
      </c>
      <c r="H193" s="2" t="s">
        <v>19</v>
      </c>
      <c r="I193" s="2" t="s">
        <v>412</v>
      </c>
      <c r="J193" s="2">
        <v>16</v>
      </c>
      <c r="K193" s="2" t="s">
        <v>21</v>
      </c>
      <c r="L193" s="2" t="s">
        <v>22</v>
      </c>
      <c r="M193" s="2">
        <v>3</v>
      </c>
    </row>
    <row r="194" spans="1:13" x14ac:dyDescent="0.3">
      <c r="A194" s="4">
        <v>192</v>
      </c>
      <c r="B194" s="4" t="s">
        <v>441</v>
      </c>
      <c r="C194" s="4" t="s">
        <v>442</v>
      </c>
      <c r="D194" s="4" t="s">
        <v>66</v>
      </c>
      <c r="E194" s="4" t="s">
        <v>55</v>
      </c>
      <c r="F194" s="4" t="s">
        <v>67</v>
      </c>
      <c r="G194" s="5">
        <v>30000</v>
      </c>
      <c r="H194" s="4" t="s">
        <v>32</v>
      </c>
      <c r="I194" s="4" t="s">
        <v>412</v>
      </c>
      <c r="J194" s="4">
        <v>2</v>
      </c>
      <c r="K194" s="4" t="s">
        <v>21</v>
      </c>
      <c r="L194" s="4" t="s">
        <v>22</v>
      </c>
      <c r="M194" s="4">
        <v>2</v>
      </c>
    </row>
    <row r="195" spans="1:13" x14ac:dyDescent="0.3">
      <c r="A195" s="2">
        <v>193</v>
      </c>
      <c r="B195" s="2" t="s">
        <v>443</v>
      </c>
      <c r="C195" s="2" t="s">
        <v>444</v>
      </c>
      <c r="D195" s="2" t="s">
        <v>30</v>
      </c>
      <c r="E195" s="2" t="s">
        <v>60</v>
      </c>
      <c r="F195" s="2" t="s">
        <v>118</v>
      </c>
      <c r="G195" s="3">
        <v>45000</v>
      </c>
      <c r="H195" s="2" t="s">
        <v>36</v>
      </c>
      <c r="I195" s="2" t="s">
        <v>412</v>
      </c>
      <c r="J195" s="2">
        <v>4</v>
      </c>
      <c r="K195" s="2" t="s">
        <v>27</v>
      </c>
      <c r="L195" s="2" t="s">
        <v>22</v>
      </c>
      <c r="M195" s="2">
        <v>12</v>
      </c>
    </row>
    <row r="196" spans="1:13" x14ac:dyDescent="0.3">
      <c r="A196" s="4">
        <v>194</v>
      </c>
      <c r="B196" s="4" t="s">
        <v>445</v>
      </c>
      <c r="C196" s="4" t="s">
        <v>446</v>
      </c>
      <c r="D196" s="4" t="s">
        <v>101</v>
      </c>
      <c r="E196" s="4" t="s">
        <v>17</v>
      </c>
      <c r="F196" s="4" t="s">
        <v>126</v>
      </c>
      <c r="G196" s="5">
        <v>62000</v>
      </c>
      <c r="H196" s="4" t="s">
        <v>19</v>
      </c>
      <c r="I196" s="4" t="s">
        <v>412</v>
      </c>
      <c r="J196" s="4">
        <v>3</v>
      </c>
      <c r="K196" s="4" t="s">
        <v>27</v>
      </c>
      <c r="L196" s="4" t="s">
        <v>22</v>
      </c>
      <c r="M196" s="4">
        <v>12</v>
      </c>
    </row>
    <row r="197" spans="1:13" x14ac:dyDescent="0.3">
      <c r="A197" s="2">
        <v>195</v>
      </c>
      <c r="B197" s="2" t="s">
        <v>447</v>
      </c>
      <c r="C197" s="2" t="s">
        <v>44</v>
      </c>
      <c r="D197" s="2" t="s">
        <v>59</v>
      </c>
      <c r="E197" s="2" t="s">
        <v>17</v>
      </c>
      <c r="F197" s="2" t="s">
        <v>61</v>
      </c>
      <c r="G197" s="3">
        <v>26000</v>
      </c>
      <c r="H197" s="2" t="s">
        <v>36</v>
      </c>
      <c r="I197" s="2" t="s">
        <v>412</v>
      </c>
      <c r="J197" s="2">
        <v>9</v>
      </c>
      <c r="K197" s="2" t="s">
        <v>27</v>
      </c>
      <c r="L197" s="2" t="s">
        <v>22</v>
      </c>
      <c r="M197" s="2">
        <v>8</v>
      </c>
    </row>
    <row r="198" spans="1:13" x14ac:dyDescent="0.3">
      <c r="A198" s="4">
        <v>196</v>
      </c>
      <c r="B198" s="4" t="s">
        <v>448</v>
      </c>
      <c r="C198" s="4" t="s">
        <v>449</v>
      </c>
      <c r="D198" s="4" t="s">
        <v>66</v>
      </c>
      <c r="E198" s="4" t="s">
        <v>25</v>
      </c>
      <c r="F198" s="4" t="s">
        <v>67</v>
      </c>
      <c r="G198" s="5">
        <v>93000</v>
      </c>
      <c r="H198" s="4" t="s">
        <v>36</v>
      </c>
      <c r="I198" s="4" t="s">
        <v>412</v>
      </c>
      <c r="J198" s="4">
        <v>9</v>
      </c>
      <c r="K198" s="4" t="s">
        <v>27</v>
      </c>
      <c r="L198" s="4" t="s">
        <v>22</v>
      </c>
      <c r="M198" s="4">
        <v>2</v>
      </c>
    </row>
    <row r="199" spans="1:13" x14ac:dyDescent="0.3">
      <c r="A199" s="2">
        <v>197</v>
      </c>
      <c r="B199" s="2" t="s">
        <v>450</v>
      </c>
      <c r="C199" s="2" t="s">
        <v>451</v>
      </c>
      <c r="D199" s="2" t="s">
        <v>66</v>
      </c>
      <c r="E199" s="2" t="s">
        <v>73</v>
      </c>
      <c r="F199" s="2" t="s">
        <v>121</v>
      </c>
      <c r="G199" s="3">
        <v>28000</v>
      </c>
      <c r="H199" s="2" t="s">
        <v>36</v>
      </c>
      <c r="I199" s="2" t="s">
        <v>412</v>
      </c>
      <c r="J199" s="2">
        <v>0</v>
      </c>
      <c r="K199" s="2" t="s">
        <v>21</v>
      </c>
      <c r="L199" s="2" t="s">
        <v>22</v>
      </c>
      <c r="M199" s="2">
        <v>3</v>
      </c>
    </row>
    <row r="200" spans="1:13" x14ac:dyDescent="0.3">
      <c r="A200" s="4">
        <v>198</v>
      </c>
      <c r="B200" s="4" t="s">
        <v>452</v>
      </c>
      <c r="C200" s="4" t="s">
        <v>184</v>
      </c>
      <c r="D200" s="4" t="s">
        <v>49</v>
      </c>
      <c r="E200" s="4" t="s">
        <v>73</v>
      </c>
      <c r="F200" s="4" t="s">
        <v>189</v>
      </c>
      <c r="G200" s="5">
        <v>49000</v>
      </c>
      <c r="H200" s="4" t="s">
        <v>19</v>
      </c>
      <c r="I200" s="4" t="s">
        <v>412</v>
      </c>
      <c r="J200" s="4">
        <v>16</v>
      </c>
      <c r="K200" s="4" t="s">
        <v>21</v>
      </c>
      <c r="L200" s="4" t="s">
        <v>57</v>
      </c>
      <c r="M200" s="4">
        <v>2</v>
      </c>
    </row>
    <row r="201" spans="1:13" x14ac:dyDescent="0.3">
      <c r="A201" s="2">
        <v>199</v>
      </c>
      <c r="B201" s="2" t="s">
        <v>453</v>
      </c>
      <c r="C201" s="2" t="s">
        <v>454</v>
      </c>
      <c r="D201" s="2" t="s">
        <v>49</v>
      </c>
      <c r="E201" s="2" t="s">
        <v>50</v>
      </c>
      <c r="F201" s="2" t="s">
        <v>108</v>
      </c>
      <c r="G201" s="3">
        <v>50000</v>
      </c>
      <c r="H201" s="2" t="s">
        <v>36</v>
      </c>
      <c r="I201" s="2" t="s">
        <v>412</v>
      </c>
      <c r="J201" s="2">
        <v>9</v>
      </c>
      <c r="K201" s="2" t="s">
        <v>27</v>
      </c>
      <c r="L201" s="2" t="s">
        <v>22</v>
      </c>
      <c r="M201" s="2">
        <v>9</v>
      </c>
    </row>
    <row r="202" spans="1:13" x14ac:dyDescent="0.3">
      <c r="A202" s="4">
        <v>200</v>
      </c>
      <c r="B202" s="4" t="s">
        <v>455</v>
      </c>
      <c r="C202" s="4" t="s">
        <v>456</v>
      </c>
      <c r="D202" s="4" t="s">
        <v>49</v>
      </c>
      <c r="E202" s="4" t="s">
        <v>45</v>
      </c>
      <c r="F202" s="4" t="s">
        <v>51</v>
      </c>
      <c r="G202" s="5">
        <v>26000</v>
      </c>
      <c r="H202" s="4" t="s">
        <v>32</v>
      </c>
      <c r="I202" s="4" t="s">
        <v>412</v>
      </c>
      <c r="J202" s="4">
        <v>13</v>
      </c>
      <c r="K202" s="4" t="s">
        <v>21</v>
      </c>
      <c r="L202" s="4" t="s">
        <v>22</v>
      </c>
      <c r="M202" s="4">
        <v>0</v>
      </c>
    </row>
    <row r="203" spans="1:13" x14ac:dyDescent="0.3">
      <c r="A203" s="2">
        <v>201</v>
      </c>
      <c r="B203" s="2" t="s">
        <v>457</v>
      </c>
      <c r="C203" s="2" t="s">
        <v>224</v>
      </c>
      <c r="D203" s="2" t="s">
        <v>59</v>
      </c>
      <c r="E203" s="2" t="s">
        <v>55</v>
      </c>
      <c r="F203" s="2" t="s">
        <v>80</v>
      </c>
      <c r="G203" s="3">
        <v>67000</v>
      </c>
      <c r="H203" s="2" t="s">
        <v>19</v>
      </c>
      <c r="I203" s="2" t="s">
        <v>412</v>
      </c>
      <c r="J203" s="2">
        <v>11</v>
      </c>
      <c r="K203" s="2" t="s">
        <v>27</v>
      </c>
      <c r="L203" s="2" t="s">
        <v>22</v>
      </c>
      <c r="M203" s="2">
        <v>4</v>
      </c>
    </row>
    <row r="204" spans="1:13" x14ac:dyDescent="0.3">
      <c r="A204" s="4">
        <v>202</v>
      </c>
      <c r="B204" s="4" t="s">
        <v>458</v>
      </c>
      <c r="C204" s="4" t="s">
        <v>459</v>
      </c>
      <c r="D204" s="4" t="s">
        <v>101</v>
      </c>
      <c r="E204" s="4" t="s">
        <v>17</v>
      </c>
      <c r="F204" s="4" t="s">
        <v>126</v>
      </c>
      <c r="G204" s="5">
        <v>35000</v>
      </c>
      <c r="H204" s="4" t="s">
        <v>26</v>
      </c>
      <c r="I204" s="4" t="s">
        <v>412</v>
      </c>
      <c r="J204" s="4">
        <v>9</v>
      </c>
      <c r="K204" s="4" t="s">
        <v>21</v>
      </c>
      <c r="L204" s="4" t="s">
        <v>22</v>
      </c>
      <c r="M204" s="4">
        <v>11</v>
      </c>
    </row>
    <row r="205" spans="1:13" x14ac:dyDescent="0.3">
      <c r="A205" s="2">
        <v>203</v>
      </c>
      <c r="B205" s="2" t="s">
        <v>460</v>
      </c>
      <c r="C205" s="2" t="s">
        <v>461</v>
      </c>
      <c r="D205" s="2" t="s">
        <v>16</v>
      </c>
      <c r="E205" s="2" t="s">
        <v>73</v>
      </c>
      <c r="F205" s="2" t="s">
        <v>18</v>
      </c>
      <c r="G205" s="3">
        <v>91000</v>
      </c>
      <c r="H205" s="2" t="s">
        <v>19</v>
      </c>
      <c r="I205" s="2" t="s">
        <v>412</v>
      </c>
      <c r="J205" s="2">
        <v>5</v>
      </c>
      <c r="K205" s="2" t="s">
        <v>21</v>
      </c>
      <c r="L205" s="2" t="s">
        <v>22</v>
      </c>
      <c r="M205" s="2">
        <v>12</v>
      </c>
    </row>
    <row r="206" spans="1:13" x14ac:dyDescent="0.3">
      <c r="A206" s="4">
        <v>204</v>
      </c>
      <c r="B206" s="4" t="s">
        <v>462</v>
      </c>
      <c r="C206" s="4" t="s">
        <v>434</v>
      </c>
      <c r="D206" s="4" t="s">
        <v>90</v>
      </c>
      <c r="E206" s="4" t="s">
        <v>45</v>
      </c>
      <c r="F206" s="4" t="s">
        <v>105</v>
      </c>
      <c r="G206" s="5">
        <v>26000</v>
      </c>
      <c r="H206" s="4" t="s">
        <v>36</v>
      </c>
      <c r="I206" s="4" t="s">
        <v>412</v>
      </c>
      <c r="J206" s="4">
        <v>18</v>
      </c>
      <c r="K206" s="4" t="s">
        <v>27</v>
      </c>
      <c r="L206" s="4" t="s">
        <v>22</v>
      </c>
      <c r="M206" s="4">
        <v>1</v>
      </c>
    </row>
    <row r="207" spans="1:13" x14ac:dyDescent="0.3">
      <c r="A207" s="2">
        <v>205</v>
      </c>
      <c r="B207" s="2" t="s">
        <v>463</v>
      </c>
      <c r="C207" s="2" t="s">
        <v>464</v>
      </c>
      <c r="D207" s="2" t="s">
        <v>54</v>
      </c>
      <c r="E207" s="2" t="s">
        <v>55</v>
      </c>
      <c r="F207" s="2" t="s">
        <v>56</v>
      </c>
      <c r="G207" s="3">
        <v>22000</v>
      </c>
      <c r="H207" s="2" t="s">
        <v>36</v>
      </c>
      <c r="I207" s="2" t="s">
        <v>412</v>
      </c>
      <c r="J207" s="2">
        <v>15</v>
      </c>
      <c r="K207" s="2" t="s">
        <v>21</v>
      </c>
      <c r="L207" s="2" t="s">
        <v>22</v>
      </c>
      <c r="M207" s="2">
        <v>10</v>
      </c>
    </row>
    <row r="208" spans="1:13" x14ac:dyDescent="0.3">
      <c r="A208" s="4">
        <v>206</v>
      </c>
      <c r="B208" s="4" t="s">
        <v>465</v>
      </c>
      <c r="C208" s="4" t="s">
        <v>466</v>
      </c>
      <c r="D208" s="4" t="s">
        <v>16</v>
      </c>
      <c r="E208" s="4" t="s">
        <v>50</v>
      </c>
      <c r="F208" s="4" t="s">
        <v>18</v>
      </c>
      <c r="G208" s="5">
        <v>88000</v>
      </c>
      <c r="H208" s="4" t="s">
        <v>36</v>
      </c>
      <c r="I208" s="4" t="s">
        <v>412</v>
      </c>
      <c r="J208" s="4">
        <v>4</v>
      </c>
      <c r="K208" s="4" t="s">
        <v>21</v>
      </c>
      <c r="L208" s="4" t="s">
        <v>22</v>
      </c>
      <c r="M208" s="4">
        <v>11</v>
      </c>
    </row>
    <row r="209" spans="1:13" x14ac:dyDescent="0.3">
      <c r="A209" s="2">
        <v>207</v>
      </c>
      <c r="B209" s="2" t="s">
        <v>467</v>
      </c>
      <c r="C209" s="2" t="s">
        <v>468</v>
      </c>
      <c r="D209" s="2" t="s">
        <v>30</v>
      </c>
      <c r="E209" s="2" t="s">
        <v>45</v>
      </c>
      <c r="F209" s="2" t="s">
        <v>77</v>
      </c>
      <c r="G209" s="3">
        <v>78000</v>
      </c>
      <c r="H209" s="2" t="s">
        <v>36</v>
      </c>
      <c r="I209" s="2" t="s">
        <v>412</v>
      </c>
      <c r="J209" s="2">
        <v>0</v>
      </c>
      <c r="K209" s="2" t="s">
        <v>21</v>
      </c>
      <c r="L209" s="2" t="s">
        <v>22</v>
      </c>
      <c r="M209" s="2">
        <v>6</v>
      </c>
    </row>
    <row r="210" spans="1:13" x14ac:dyDescent="0.3">
      <c r="A210" s="4">
        <v>208</v>
      </c>
      <c r="B210" s="4" t="s">
        <v>469</v>
      </c>
      <c r="C210" s="4" t="s">
        <v>268</v>
      </c>
      <c r="D210" s="4" t="s">
        <v>101</v>
      </c>
      <c r="E210" s="4" t="s">
        <v>50</v>
      </c>
      <c r="F210" s="4" t="s">
        <v>102</v>
      </c>
      <c r="G210" s="5">
        <v>75000</v>
      </c>
      <c r="H210" s="4" t="s">
        <v>161</v>
      </c>
      <c r="I210" s="4" t="s">
        <v>412</v>
      </c>
      <c r="J210" s="4">
        <v>8</v>
      </c>
      <c r="K210" s="4" t="s">
        <v>27</v>
      </c>
      <c r="L210" s="4" t="s">
        <v>22</v>
      </c>
      <c r="M210" s="4">
        <v>0</v>
      </c>
    </row>
    <row r="211" spans="1:13" x14ac:dyDescent="0.3">
      <c r="A211" s="2">
        <v>209</v>
      </c>
      <c r="B211" s="2" t="s">
        <v>470</v>
      </c>
      <c r="C211" s="2" t="s">
        <v>471</v>
      </c>
      <c r="D211" s="2" t="s">
        <v>54</v>
      </c>
      <c r="E211" s="2" t="s">
        <v>73</v>
      </c>
      <c r="F211" s="2" t="s">
        <v>56</v>
      </c>
      <c r="G211" s="3">
        <v>69000</v>
      </c>
      <c r="H211" s="2" t="s">
        <v>19</v>
      </c>
      <c r="I211" s="2" t="s">
        <v>412</v>
      </c>
      <c r="J211" s="2">
        <v>15</v>
      </c>
      <c r="K211" s="2" t="s">
        <v>27</v>
      </c>
      <c r="L211" s="2" t="s">
        <v>22</v>
      </c>
      <c r="M211" s="2">
        <v>10</v>
      </c>
    </row>
    <row r="212" spans="1:13" x14ac:dyDescent="0.3">
      <c r="A212" s="4">
        <v>210</v>
      </c>
      <c r="B212" s="4" t="s">
        <v>472</v>
      </c>
      <c r="C212" s="4" t="s">
        <v>473</v>
      </c>
      <c r="D212" s="4" t="s">
        <v>90</v>
      </c>
      <c r="E212" s="4" t="s">
        <v>45</v>
      </c>
      <c r="F212" s="4" t="s">
        <v>98</v>
      </c>
      <c r="G212" s="5">
        <v>16000</v>
      </c>
      <c r="H212" s="4" t="s">
        <v>19</v>
      </c>
      <c r="I212" s="4" t="s">
        <v>412</v>
      </c>
      <c r="J212" s="4">
        <v>1</v>
      </c>
      <c r="K212" s="4" t="s">
        <v>27</v>
      </c>
      <c r="L212" s="4" t="s">
        <v>57</v>
      </c>
      <c r="M212" s="4">
        <v>0</v>
      </c>
    </row>
    <row r="213" spans="1:13" x14ac:dyDescent="0.3">
      <c r="A213" s="2">
        <v>211</v>
      </c>
      <c r="B213" s="2" t="s">
        <v>474</v>
      </c>
      <c r="C213" s="2" t="s">
        <v>475</v>
      </c>
      <c r="D213" s="2" t="s">
        <v>49</v>
      </c>
      <c r="E213" s="2" t="s">
        <v>60</v>
      </c>
      <c r="F213" s="2" t="s">
        <v>189</v>
      </c>
      <c r="G213" s="3">
        <v>55000</v>
      </c>
      <c r="H213" s="2" t="s">
        <v>19</v>
      </c>
      <c r="I213" s="2" t="s">
        <v>412</v>
      </c>
      <c r="J213" s="2">
        <v>7</v>
      </c>
      <c r="K213" s="2" t="s">
        <v>21</v>
      </c>
      <c r="L213" s="2" t="s">
        <v>22</v>
      </c>
      <c r="M213" s="2">
        <v>12</v>
      </c>
    </row>
    <row r="214" spans="1:13" x14ac:dyDescent="0.3">
      <c r="A214" s="4">
        <v>212</v>
      </c>
      <c r="B214" s="4" t="s">
        <v>476</v>
      </c>
      <c r="C214" s="4" t="s">
        <v>477</v>
      </c>
      <c r="D214" s="4" t="s">
        <v>30</v>
      </c>
      <c r="E214" s="4" t="s">
        <v>55</v>
      </c>
      <c r="F214" s="4" t="s">
        <v>35</v>
      </c>
      <c r="G214" s="5">
        <v>33000</v>
      </c>
      <c r="H214" s="4" t="s">
        <v>19</v>
      </c>
      <c r="I214" s="4" t="s">
        <v>412</v>
      </c>
      <c r="J214" s="4">
        <v>9</v>
      </c>
      <c r="K214" s="4" t="s">
        <v>27</v>
      </c>
      <c r="L214" s="4" t="s">
        <v>22</v>
      </c>
      <c r="M214" s="4">
        <v>2</v>
      </c>
    </row>
    <row r="215" spans="1:13" x14ac:dyDescent="0.3">
      <c r="A215" s="2">
        <v>213</v>
      </c>
      <c r="B215" s="2" t="s">
        <v>478</v>
      </c>
      <c r="C215" s="2" t="s">
        <v>222</v>
      </c>
      <c r="D215" s="2" t="s">
        <v>66</v>
      </c>
      <c r="E215" s="2" t="s">
        <v>45</v>
      </c>
      <c r="F215" s="2" t="s">
        <v>121</v>
      </c>
      <c r="G215" s="3">
        <v>101000</v>
      </c>
      <c r="H215" s="2" t="s">
        <v>32</v>
      </c>
      <c r="I215" s="2" t="s">
        <v>412</v>
      </c>
      <c r="J215" s="2">
        <v>1</v>
      </c>
      <c r="K215" s="2" t="s">
        <v>21</v>
      </c>
      <c r="L215" s="2" t="s">
        <v>22</v>
      </c>
      <c r="M215" s="2">
        <v>8</v>
      </c>
    </row>
    <row r="216" spans="1:13" x14ac:dyDescent="0.3">
      <c r="A216" s="4">
        <v>214</v>
      </c>
      <c r="B216" s="4" t="s">
        <v>479</v>
      </c>
      <c r="C216" s="4" t="s">
        <v>480</v>
      </c>
      <c r="D216" s="4" t="s">
        <v>49</v>
      </c>
      <c r="E216" s="4" t="s">
        <v>60</v>
      </c>
      <c r="F216" s="4" t="s">
        <v>70</v>
      </c>
      <c r="G216" s="5">
        <v>59000</v>
      </c>
      <c r="H216" s="4" t="s">
        <v>19</v>
      </c>
      <c r="I216" s="4" t="s">
        <v>412</v>
      </c>
      <c r="J216" s="4">
        <v>11</v>
      </c>
      <c r="K216" s="4" t="s">
        <v>27</v>
      </c>
      <c r="L216" s="4" t="s">
        <v>22</v>
      </c>
      <c r="M216" s="4">
        <v>0</v>
      </c>
    </row>
    <row r="217" spans="1:13" x14ac:dyDescent="0.3">
      <c r="A217" s="2">
        <v>215</v>
      </c>
      <c r="B217" s="2" t="s">
        <v>481</v>
      </c>
      <c r="C217" s="2" t="s">
        <v>482</v>
      </c>
      <c r="D217" s="2" t="s">
        <v>90</v>
      </c>
      <c r="E217" s="2" t="s">
        <v>60</v>
      </c>
      <c r="F217" s="2" t="s">
        <v>91</v>
      </c>
      <c r="G217" s="3">
        <v>43000</v>
      </c>
      <c r="H217" s="2" t="s">
        <v>32</v>
      </c>
      <c r="I217" s="2" t="s">
        <v>412</v>
      </c>
      <c r="J217" s="2">
        <v>14</v>
      </c>
      <c r="K217" s="2" t="s">
        <v>27</v>
      </c>
      <c r="L217" s="2" t="s">
        <v>22</v>
      </c>
      <c r="M217" s="2">
        <v>5</v>
      </c>
    </row>
    <row r="218" spans="1:13" x14ac:dyDescent="0.3">
      <c r="A218" s="4">
        <v>216</v>
      </c>
      <c r="B218" s="4" t="s">
        <v>483</v>
      </c>
      <c r="C218" s="4" t="s">
        <v>321</v>
      </c>
      <c r="D218" s="4" t="s">
        <v>16</v>
      </c>
      <c r="E218" s="4" t="s">
        <v>45</v>
      </c>
      <c r="F218" s="4" t="s">
        <v>18</v>
      </c>
      <c r="G218" s="5">
        <v>62000</v>
      </c>
      <c r="H218" s="4" t="s">
        <v>32</v>
      </c>
      <c r="I218" s="4" t="s">
        <v>412</v>
      </c>
      <c r="J218" s="4">
        <v>17</v>
      </c>
      <c r="K218" s="4" t="s">
        <v>21</v>
      </c>
      <c r="L218" s="4" t="s">
        <v>46</v>
      </c>
      <c r="M218" s="4">
        <v>4</v>
      </c>
    </row>
    <row r="219" spans="1:13" x14ac:dyDescent="0.3">
      <c r="A219" s="2">
        <v>217</v>
      </c>
      <c r="B219" s="2" t="s">
        <v>484</v>
      </c>
      <c r="C219" s="2" t="s">
        <v>79</v>
      </c>
      <c r="D219" s="2" t="s">
        <v>16</v>
      </c>
      <c r="E219" s="2" t="s">
        <v>39</v>
      </c>
      <c r="F219" s="2" t="s">
        <v>18</v>
      </c>
      <c r="G219" s="3">
        <v>49000</v>
      </c>
      <c r="H219" s="2" t="s">
        <v>32</v>
      </c>
      <c r="I219" s="2" t="s">
        <v>412</v>
      </c>
      <c r="J219" s="2">
        <v>4</v>
      </c>
      <c r="K219" s="2" t="s">
        <v>21</v>
      </c>
      <c r="L219" s="2" t="s">
        <v>46</v>
      </c>
      <c r="M219" s="2">
        <v>5</v>
      </c>
    </row>
    <row r="220" spans="1:13" x14ac:dyDescent="0.3">
      <c r="A220" s="4">
        <v>218</v>
      </c>
      <c r="B220" s="4" t="s">
        <v>485</v>
      </c>
      <c r="C220" s="4" t="s">
        <v>486</v>
      </c>
      <c r="D220" s="4" t="s">
        <v>101</v>
      </c>
      <c r="E220" s="4" t="s">
        <v>45</v>
      </c>
      <c r="F220" s="4" t="s">
        <v>102</v>
      </c>
      <c r="G220" s="5">
        <v>71000</v>
      </c>
      <c r="H220" s="4" t="s">
        <v>32</v>
      </c>
      <c r="I220" s="4" t="s">
        <v>412</v>
      </c>
      <c r="J220" s="4">
        <v>17</v>
      </c>
      <c r="K220" s="4" t="s">
        <v>21</v>
      </c>
      <c r="L220" s="4" t="s">
        <v>22</v>
      </c>
      <c r="M220" s="4">
        <v>4</v>
      </c>
    </row>
    <row r="221" spans="1:13" x14ac:dyDescent="0.3">
      <c r="A221" s="2">
        <v>219</v>
      </c>
      <c r="B221" s="2" t="s">
        <v>487</v>
      </c>
      <c r="C221" s="2" t="s">
        <v>488</v>
      </c>
      <c r="D221" s="2" t="s">
        <v>101</v>
      </c>
      <c r="E221" s="2" t="s">
        <v>39</v>
      </c>
      <c r="F221" s="2" t="s">
        <v>349</v>
      </c>
      <c r="G221" s="3">
        <v>131000</v>
      </c>
      <c r="H221" s="2" t="s">
        <v>32</v>
      </c>
      <c r="I221" s="2" t="s">
        <v>412</v>
      </c>
      <c r="J221" s="2">
        <v>18</v>
      </c>
      <c r="K221" s="2" t="s">
        <v>21</v>
      </c>
      <c r="L221" s="2" t="s">
        <v>57</v>
      </c>
      <c r="M221" s="2">
        <v>5</v>
      </c>
    </row>
    <row r="222" spans="1:13" x14ac:dyDescent="0.3">
      <c r="A222" s="4">
        <v>220</v>
      </c>
      <c r="B222" s="4" t="s">
        <v>489</v>
      </c>
      <c r="C222" s="4" t="s">
        <v>490</v>
      </c>
      <c r="D222" s="4" t="s">
        <v>54</v>
      </c>
      <c r="E222" s="4" t="s">
        <v>25</v>
      </c>
      <c r="F222" s="4" t="s">
        <v>158</v>
      </c>
      <c r="G222" s="5">
        <v>41000</v>
      </c>
      <c r="H222" s="4" t="s">
        <v>36</v>
      </c>
      <c r="I222" s="4" t="s">
        <v>412</v>
      </c>
      <c r="J222" s="4">
        <v>0</v>
      </c>
      <c r="K222" s="4" t="s">
        <v>21</v>
      </c>
      <c r="L222" s="4" t="s">
        <v>22</v>
      </c>
      <c r="M222" s="4">
        <v>3</v>
      </c>
    </row>
    <row r="223" spans="1:13" x14ac:dyDescent="0.3">
      <c r="A223" s="2">
        <v>221</v>
      </c>
      <c r="B223" s="2" t="s">
        <v>491</v>
      </c>
      <c r="C223" s="2" t="s">
        <v>492</v>
      </c>
      <c r="D223" s="2" t="s">
        <v>66</v>
      </c>
      <c r="E223" s="2" t="s">
        <v>25</v>
      </c>
      <c r="F223" s="2" t="s">
        <v>153</v>
      </c>
      <c r="G223" s="3">
        <v>39000</v>
      </c>
      <c r="H223" s="2" t="s">
        <v>26</v>
      </c>
      <c r="I223" s="2" t="s">
        <v>493</v>
      </c>
      <c r="J223" s="2">
        <v>17</v>
      </c>
      <c r="K223" s="2" t="s">
        <v>27</v>
      </c>
      <c r="L223" s="2" t="s">
        <v>46</v>
      </c>
      <c r="M223" s="2">
        <v>9</v>
      </c>
    </row>
    <row r="224" spans="1:13" x14ac:dyDescent="0.3">
      <c r="A224" s="4">
        <v>222</v>
      </c>
      <c r="B224" s="4" t="s">
        <v>494</v>
      </c>
      <c r="C224" s="4" t="s">
        <v>495</v>
      </c>
      <c r="D224" s="4" t="s">
        <v>90</v>
      </c>
      <c r="E224" s="4" t="s">
        <v>50</v>
      </c>
      <c r="F224" s="4" t="s">
        <v>113</v>
      </c>
      <c r="G224" s="5">
        <v>39000</v>
      </c>
      <c r="H224" s="4" t="s">
        <v>36</v>
      </c>
      <c r="I224" s="4" t="s">
        <v>493</v>
      </c>
      <c r="J224" s="4">
        <v>9</v>
      </c>
      <c r="K224" s="4" t="s">
        <v>27</v>
      </c>
      <c r="L224" s="4" t="s">
        <v>22</v>
      </c>
      <c r="M224" s="4">
        <v>1</v>
      </c>
    </row>
    <row r="225" spans="1:13" x14ac:dyDescent="0.3">
      <c r="A225" s="2">
        <v>223</v>
      </c>
      <c r="B225" s="2" t="s">
        <v>496</v>
      </c>
      <c r="C225" s="2" t="s">
        <v>249</v>
      </c>
      <c r="D225" s="2" t="s">
        <v>54</v>
      </c>
      <c r="E225" s="2" t="s">
        <v>45</v>
      </c>
      <c r="F225" s="2" t="s">
        <v>56</v>
      </c>
      <c r="G225" s="3">
        <v>64000</v>
      </c>
      <c r="H225" s="2" t="s">
        <v>32</v>
      </c>
      <c r="I225" s="2" t="s">
        <v>493</v>
      </c>
      <c r="J225" s="2">
        <v>10</v>
      </c>
      <c r="K225" s="2" t="s">
        <v>27</v>
      </c>
      <c r="L225" s="2" t="s">
        <v>22</v>
      </c>
      <c r="M225" s="2">
        <v>4</v>
      </c>
    </row>
    <row r="226" spans="1:13" x14ac:dyDescent="0.3">
      <c r="A226" s="4">
        <v>224</v>
      </c>
      <c r="B226" s="4" t="s">
        <v>497</v>
      </c>
      <c r="C226" s="4" t="s">
        <v>498</v>
      </c>
      <c r="D226" s="4" t="s">
        <v>90</v>
      </c>
      <c r="E226" s="4" t="s">
        <v>39</v>
      </c>
      <c r="F226" s="4" t="s">
        <v>91</v>
      </c>
      <c r="G226" s="5">
        <v>24000</v>
      </c>
      <c r="H226" s="4" t="s">
        <v>19</v>
      </c>
      <c r="I226" s="4" t="s">
        <v>493</v>
      </c>
      <c r="J226" s="4">
        <v>18</v>
      </c>
      <c r="K226" s="4" t="s">
        <v>27</v>
      </c>
      <c r="L226" s="4" t="s">
        <v>22</v>
      </c>
      <c r="M226" s="4">
        <v>9</v>
      </c>
    </row>
    <row r="227" spans="1:13" x14ac:dyDescent="0.3">
      <c r="A227" s="2">
        <v>225</v>
      </c>
      <c r="B227" s="2" t="s">
        <v>499</v>
      </c>
      <c r="C227" s="2" t="s">
        <v>500</v>
      </c>
      <c r="D227" s="2" t="s">
        <v>30</v>
      </c>
      <c r="E227" s="2" t="s">
        <v>55</v>
      </c>
      <c r="F227" s="2" t="s">
        <v>35</v>
      </c>
      <c r="G227" s="3">
        <v>75000</v>
      </c>
      <c r="H227" s="2" t="s">
        <v>36</v>
      </c>
      <c r="I227" s="2" t="s">
        <v>493</v>
      </c>
      <c r="J227" s="2">
        <v>17</v>
      </c>
      <c r="K227" s="2" t="s">
        <v>27</v>
      </c>
      <c r="L227" s="2" t="s">
        <v>22</v>
      </c>
      <c r="M227" s="2">
        <v>1</v>
      </c>
    </row>
    <row r="228" spans="1:13" x14ac:dyDescent="0.3">
      <c r="A228" s="4">
        <v>226</v>
      </c>
      <c r="B228" s="4" t="s">
        <v>501</v>
      </c>
      <c r="C228" s="4" t="s">
        <v>416</v>
      </c>
      <c r="D228" s="4" t="s">
        <v>90</v>
      </c>
      <c r="E228" s="4" t="s">
        <v>50</v>
      </c>
      <c r="F228" s="4" t="s">
        <v>105</v>
      </c>
      <c r="G228" s="5">
        <v>49000</v>
      </c>
      <c r="H228" s="4" t="s">
        <v>32</v>
      </c>
      <c r="I228" s="4" t="s">
        <v>493</v>
      </c>
      <c r="J228" s="4">
        <v>17</v>
      </c>
      <c r="K228" s="4" t="s">
        <v>21</v>
      </c>
      <c r="L228" s="4" t="s">
        <v>22</v>
      </c>
      <c r="M228" s="4">
        <v>10</v>
      </c>
    </row>
    <row r="229" spans="1:13" x14ac:dyDescent="0.3">
      <c r="A229" s="2">
        <v>227</v>
      </c>
      <c r="B229" s="2" t="s">
        <v>502</v>
      </c>
      <c r="C229" s="2" t="s">
        <v>503</v>
      </c>
      <c r="D229" s="2" t="s">
        <v>66</v>
      </c>
      <c r="E229" s="2" t="s">
        <v>60</v>
      </c>
      <c r="F229" s="2" t="s">
        <v>279</v>
      </c>
      <c r="G229" s="3">
        <v>36000</v>
      </c>
      <c r="H229" s="2" t="s">
        <v>36</v>
      </c>
      <c r="I229" s="2" t="s">
        <v>493</v>
      </c>
      <c r="J229" s="2">
        <v>5</v>
      </c>
      <c r="K229" s="2" t="s">
        <v>21</v>
      </c>
      <c r="L229" s="2" t="s">
        <v>22</v>
      </c>
      <c r="M229" s="2">
        <v>12</v>
      </c>
    </row>
    <row r="230" spans="1:13" x14ac:dyDescent="0.3">
      <c r="A230" s="4">
        <v>228</v>
      </c>
      <c r="B230" s="4" t="s">
        <v>504</v>
      </c>
      <c r="C230" s="4" t="s">
        <v>505</v>
      </c>
      <c r="D230" s="4" t="s">
        <v>16</v>
      </c>
      <c r="E230" s="4" t="s">
        <v>39</v>
      </c>
      <c r="F230" s="4" t="s">
        <v>42</v>
      </c>
      <c r="G230" s="5">
        <v>100000</v>
      </c>
      <c r="H230" s="4" t="s">
        <v>36</v>
      </c>
      <c r="I230" s="4" t="s">
        <v>493</v>
      </c>
      <c r="J230" s="4">
        <v>0</v>
      </c>
      <c r="K230" s="4" t="s">
        <v>27</v>
      </c>
      <c r="L230" s="4" t="s">
        <v>22</v>
      </c>
      <c r="M230" s="4">
        <v>7</v>
      </c>
    </row>
    <row r="231" spans="1:13" x14ac:dyDescent="0.3">
      <c r="A231" s="2">
        <v>229</v>
      </c>
      <c r="B231" s="2" t="s">
        <v>506</v>
      </c>
      <c r="C231" s="2" t="s">
        <v>507</v>
      </c>
      <c r="D231" s="2" t="s">
        <v>59</v>
      </c>
      <c r="E231" s="2" t="s">
        <v>17</v>
      </c>
      <c r="F231" s="2" t="s">
        <v>319</v>
      </c>
      <c r="G231" s="3">
        <v>82000</v>
      </c>
      <c r="H231" s="2" t="s">
        <v>19</v>
      </c>
      <c r="I231" s="2" t="s">
        <v>493</v>
      </c>
      <c r="J231" s="2">
        <v>11</v>
      </c>
      <c r="K231" s="2" t="s">
        <v>27</v>
      </c>
      <c r="L231" s="2" t="s">
        <v>57</v>
      </c>
      <c r="M231" s="2">
        <v>12</v>
      </c>
    </row>
    <row r="232" spans="1:13" x14ac:dyDescent="0.3">
      <c r="A232" s="4">
        <v>230</v>
      </c>
      <c r="B232" s="4" t="s">
        <v>508</v>
      </c>
      <c r="C232" s="4" t="s">
        <v>471</v>
      </c>
      <c r="D232" s="4" t="s">
        <v>90</v>
      </c>
      <c r="E232" s="4" t="s">
        <v>60</v>
      </c>
      <c r="F232" s="4" t="s">
        <v>98</v>
      </c>
      <c r="G232" s="5">
        <v>41000</v>
      </c>
      <c r="H232" s="4" t="s">
        <v>32</v>
      </c>
      <c r="I232" s="4" t="s">
        <v>493</v>
      </c>
      <c r="J232" s="4">
        <v>12</v>
      </c>
      <c r="K232" s="4" t="s">
        <v>21</v>
      </c>
      <c r="L232" s="4" t="s">
        <v>22</v>
      </c>
      <c r="M232" s="4">
        <v>8</v>
      </c>
    </row>
    <row r="233" spans="1:13" x14ac:dyDescent="0.3">
      <c r="A233" s="2">
        <v>231</v>
      </c>
      <c r="B233" s="2" t="s">
        <v>509</v>
      </c>
      <c r="C233" s="2" t="s">
        <v>510</v>
      </c>
      <c r="D233" s="2" t="s">
        <v>49</v>
      </c>
      <c r="E233" s="2" t="s">
        <v>55</v>
      </c>
      <c r="F233" s="2" t="s">
        <v>70</v>
      </c>
      <c r="G233" s="3">
        <v>58000</v>
      </c>
      <c r="H233" s="2" t="s">
        <v>32</v>
      </c>
      <c r="I233" s="2" t="s">
        <v>493</v>
      </c>
      <c r="J233" s="2">
        <v>18</v>
      </c>
      <c r="K233" s="2" t="s">
        <v>27</v>
      </c>
      <c r="L233" s="2" t="s">
        <v>22</v>
      </c>
      <c r="M233" s="2">
        <v>2</v>
      </c>
    </row>
    <row r="234" spans="1:13" x14ac:dyDescent="0.3">
      <c r="A234" s="4">
        <v>232</v>
      </c>
      <c r="B234" s="4" t="s">
        <v>511</v>
      </c>
      <c r="C234" s="4" t="s">
        <v>512</v>
      </c>
      <c r="D234" s="4" t="s">
        <v>30</v>
      </c>
      <c r="E234" s="4" t="s">
        <v>25</v>
      </c>
      <c r="F234" s="4" t="s">
        <v>77</v>
      </c>
      <c r="G234" s="5">
        <v>48000</v>
      </c>
      <c r="H234" s="4" t="s">
        <v>19</v>
      </c>
      <c r="I234" s="4" t="s">
        <v>493</v>
      </c>
      <c r="J234" s="4">
        <v>3</v>
      </c>
      <c r="K234" s="4" t="s">
        <v>21</v>
      </c>
      <c r="L234" s="4" t="s">
        <v>22</v>
      </c>
      <c r="M234" s="4">
        <v>0</v>
      </c>
    </row>
    <row r="235" spans="1:13" x14ac:dyDescent="0.3">
      <c r="A235" s="2">
        <v>233</v>
      </c>
      <c r="B235" s="2" t="s">
        <v>513</v>
      </c>
      <c r="C235" s="2" t="s">
        <v>514</v>
      </c>
      <c r="D235" s="2" t="s">
        <v>54</v>
      </c>
      <c r="E235" s="2" t="s">
        <v>45</v>
      </c>
      <c r="F235" s="2" t="s">
        <v>200</v>
      </c>
      <c r="G235" s="3">
        <v>30000</v>
      </c>
      <c r="H235" s="2" t="s">
        <v>26</v>
      </c>
      <c r="I235" s="2" t="s">
        <v>493</v>
      </c>
      <c r="J235" s="2">
        <v>14</v>
      </c>
      <c r="K235" s="2" t="s">
        <v>27</v>
      </c>
      <c r="L235" s="2" t="s">
        <v>57</v>
      </c>
      <c r="M235" s="2">
        <v>11</v>
      </c>
    </row>
    <row r="236" spans="1:13" x14ac:dyDescent="0.3">
      <c r="A236" s="4">
        <v>234</v>
      </c>
      <c r="B236" s="4" t="s">
        <v>515</v>
      </c>
      <c r="C236" s="4" t="s">
        <v>516</v>
      </c>
      <c r="D236" s="4" t="s">
        <v>54</v>
      </c>
      <c r="E236" s="4" t="s">
        <v>60</v>
      </c>
      <c r="F236" s="4" t="s">
        <v>158</v>
      </c>
      <c r="G236" s="5">
        <v>19000</v>
      </c>
      <c r="H236" s="4" t="s">
        <v>36</v>
      </c>
      <c r="I236" s="4" t="s">
        <v>493</v>
      </c>
      <c r="J236" s="4">
        <v>13</v>
      </c>
      <c r="K236" s="4" t="s">
        <v>21</v>
      </c>
      <c r="L236" s="4" t="s">
        <v>22</v>
      </c>
      <c r="M236" s="4">
        <v>10</v>
      </c>
    </row>
    <row r="237" spans="1:13" x14ac:dyDescent="0.3">
      <c r="A237" s="2">
        <v>235</v>
      </c>
      <c r="B237" s="2" t="s">
        <v>517</v>
      </c>
      <c r="C237" s="2" t="s">
        <v>243</v>
      </c>
      <c r="D237" s="2" t="s">
        <v>54</v>
      </c>
      <c r="E237" s="2" t="s">
        <v>55</v>
      </c>
      <c r="F237" s="2" t="s">
        <v>247</v>
      </c>
      <c r="G237" s="3">
        <v>28000</v>
      </c>
      <c r="H237" s="2" t="s">
        <v>36</v>
      </c>
      <c r="I237" s="2" t="s">
        <v>493</v>
      </c>
      <c r="J237" s="2">
        <v>11</v>
      </c>
      <c r="K237" s="2" t="s">
        <v>21</v>
      </c>
      <c r="L237" s="2" t="s">
        <v>22</v>
      </c>
      <c r="M237" s="2">
        <v>6</v>
      </c>
    </row>
    <row r="238" spans="1:13" x14ac:dyDescent="0.3">
      <c r="A238" s="4">
        <v>236</v>
      </c>
      <c r="B238" s="4" t="s">
        <v>518</v>
      </c>
      <c r="C238" s="4" t="s">
        <v>519</v>
      </c>
      <c r="D238" s="4" t="s">
        <v>16</v>
      </c>
      <c r="E238" s="4" t="s">
        <v>25</v>
      </c>
      <c r="F238" s="4" t="s">
        <v>74</v>
      </c>
      <c r="G238" s="5">
        <v>53000</v>
      </c>
      <c r="H238" s="4" t="s">
        <v>19</v>
      </c>
      <c r="I238" s="4" t="s">
        <v>493</v>
      </c>
      <c r="J238" s="4">
        <v>9</v>
      </c>
      <c r="K238" s="4" t="s">
        <v>21</v>
      </c>
      <c r="L238" s="4" t="s">
        <v>22</v>
      </c>
      <c r="M238" s="4">
        <v>10</v>
      </c>
    </row>
    <row r="239" spans="1:13" x14ac:dyDescent="0.3">
      <c r="A239" s="2">
        <v>237</v>
      </c>
      <c r="B239" s="2" t="s">
        <v>520</v>
      </c>
      <c r="C239" s="2" t="s">
        <v>521</v>
      </c>
      <c r="D239" s="2" t="s">
        <v>101</v>
      </c>
      <c r="E239" s="2" t="s">
        <v>17</v>
      </c>
      <c r="F239" s="2" t="s">
        <v>349</v>
      </c>
      <c r="G239" s="3">
        <v>35000</v>
      </c>
      <c r="H239" s="2" t="s">
        <v>32</v>
      </c>
      <c r="I239" s="2" t="s">
        <v>493</v>
      </c>
      <c r="J239" s="2">
        <v>5</v>
      </c>
      <c r="K239" s="2" t="s">
        <v>21</v>
      </c>
      <c r="L239" s="2" t="s">
        <v>22</v>
      </c>
      <c r="M239" s="2">
        <v>5</v>
      </c>
    </row>
    <row r="240" spans="1:13" x14ac:dyDescent="0.3">
      <c r="A240" s="4">
        <v>238</v>
      </c>
      <c r="B240" s="4" t="s">
        <v>522</v>
      </c>
      <c r="C240" s="4" t="s">
        <v>523</v>
      </c>
      <c r="D240" s="4" t="s">
        <v>101</v>
      </c>
      <c r="E240" s="4" t="s">
        <v>73</v>
      </c>
      <c r="F240" s="4" t="s">
        <v>102</v>
      </c>
      <c r="G240" s="5">
        <v>122000</v>
      </c>
      <c r="H240" s="4" t="s">
        <v>19</v>
      </c>
      <c r="I240" s="4" t="s">
        <v>493</v>
      </c>
      <c r="J240" s="4">
        <v>7</v>
      </c>
      <c r="K240" s="4" t="s">
        <v>21</v>
      </c>
      <c r="L240" s="4" t="s">
        <v>22</v>
      </c>
      <c r="M240" s="4">
        <v>3</v>
      </c>
    </row>
    <row r="241" spans="1:13" x14ac:dyDescent="0.3">
      <c r="A241" s="2">
        <v>239</v>
      </c>
      <c r="B241" s="2" t="s">
        <v>524</v>
      </c>
      <c r="C241" s="2" t="s">
        <v>525</v>
      </c>
      <c r="D241" s="2" t="s">
        <v>59</v>
      </c>
      <c r="E241" s="2" t="s">
        <v>17</v>
      </c>
      <c r="F241" s="2" t="s">
        <v>61</v>
      </c>
      <c r="G241" s="3">
        <v>52000</v>
      </c>
      <c r="H241" s="2" t="s">
        <v>36</v>
      </c>
      <c r="I241" s="2" t="s">
        <v>493</v>
      </c>
      <c r="J241" s="2">
        <v>12</v>
      </c>
      <c r="K241" s="2" t="s">
        <v>21</v>
      </c>
      <c r="L241" s="2" t="s">
        <v>57</v>
      </c>
      <c r="M241" s="2">
        <v>2</v>
      </c>
    </row>
    <row r="242" spans="1:13" x14ac:dyDescent="0.3">
      <c r="A242" s="4">
        <v>240</v>
      </c>
      <c r="B242" s="4" t="s">
        <v>526</v>
      </c>
      <c r="C242" s="4" t="s">
        <v>527</v>
      </c>
      <c r="D242" s="4" t="s">
        <v>90</v>
      </c>
      <c r="E242" s="4" t="s">
        <v>25</v>
      </c>
      <c r="F242" s="4" t="s">
        <v>105</v>
      </c>
      <c r="G242" s="5">
        <v>26000</v>
      </c>
      <c r="H242" s="4" t="s">
        <v>36</v>
      </c>
      <c r="I242" s="4" t="s">
        <v>493</v>
      </c>
      <c r="J242" s="4">
        <v>12</v>
      </c>
      <c r="K242" s="4" t="s">
        <v>27</v>
      </c>
      <c r="L242" s="4" t="s">
        <v>57</v>
      </c>
      <c r="M242" s="4">
        <v>12</v>
      </c>
    </row>
    <row r="243" spans="1:13" x14ac:dyDescent="0.3">
      <c r="A243" s="2">
        <v>241</v>
      </c>
      <c r="B243" s="2" t="s">
        <v>528</v>
      </c>
      <c r="C243" s="2" t="s">
        <v>529</v>
      </c>
      <c r="D243" s="2" t="s">
        <v>101</v>
      </c>
      <c r="E243" s="2" t="s">
        <v>39</v>
      </c>
      <c r="F243" s="2" t="s">
        <v>102</v>
      </c>
      <c r="G243" s="3">
        <v>49000</v>
      </c>
      <c r="H243" s="2" t="s">
        <v>26</v>
      </c>
      <c r="I243" s="2" t="s">
        <v>493</v>
      </c>
      <c r="J243" s="2">
        <v>3</v>
      </c>
      <c r="K243" s="2" t="s">
        <v>27</v>
      </c>
      <c r="L243" s="2" t="s">
        <v>22</v>
      </c>
      <c r="M243" s="2">
        <v>2</v>
      </c>
    </row>
    <row r="244" spans="1:13" x14ac:dyDescent="0.3">
      <c r="A244" s="4">
        <v>242</v>
      </c>
      <c r="B244" s="4" t="s">
        <v>530</v>
      </c>
      <c r="C244" s="4" t="s">
        <v>531</v>
      </c>
      <c r="D244" s="4" t="s">
        <v>30</v>
      </c>
      <c r="E244" s="4" t="s">
        <v>50</v>
      </c>
      <c r="F244" s="4" t="s">
        <v>118</v>
      </c>
      <c r="G244" s="5">
        <v>42000</v>
      </c>
      <c r="H244" s="4" t="s">
        <v>19</v>
      </c>
      <c r="I244" s="4" t="s">
        <v>493</v>
      </c>
      <c r="J244" s="4">
        <v>0</v>
      </c>
      <c r="K244" s="4" t="s">
        <v>21</v>
      </c>
      <c r="L244" s="4" t="s">
        <v>22</v>
      </c>
      <c r="M244" s="4">
        <v>3</v>
      </c>
    </row>
    <row r="245" spans="1:13" x14ac:dyDescent="0.3">
      <c r="A245" s="2">
        <v>243</v>
      </c>
      <c r="B245" s="2" t="s">
        <v>532</v>
      </c>
      <c r="C245" s="2" t="s">
        <v>533</v>
      </c>
      <c r="D245" s="2" t="s">
        <v>54</v>
      </c>
      <c r="E245" s="2" t="s">
        <v>17</v>
      </c>
      <c r="F245" s="2" t="s">
        <v>56</v>
      </c>
      <c r="G245" s="3">
        <v>34000</v>
      </c>
      <c r="H245" s="2" t="s">
        <v>36</v>
      </c>
      <c r="I245" s="2" t="s">
        <v>493</v>
      </c>
      <c r="J245" s="2">
        <v>16</v>
      </c>
      <c r="K245" s="2" t="s">
        <v>21</v>
      </c>
      <c r="L245" s="2" t="s">
        <v>22</v>
      </c>
      <c r="M245" s="2">
        <v>10</v>
      </c>
    </row>
    <row r="246" spans="1:13" x14ac:dyDescent="0.3">
      <c r="A246" s="4">
        <v>244</v>
      </c>
      <c r="B246" s="4" t="s">
        <v>534</v>
      </c>
      <c r="C246" s="4" t="s">
        <v>535</v>
      </c>
      <c r="D246" s="4" t="s">
        <v>90</v>
      </c>
      <c r="E246" s="4" t="s">
        <v>17</v>
      </c>
      <c r="F246" s="4" t="s">
        <v>113</v>
      </c>
      <c r="G246" s="5">
        <v>17000</v>
      </c>
      <c r="H246" s="4" t="s">
        <v>32</v>
      </c>
      <c r="I246" s="4" t="s">
        <v>493</v>
      </c>
      <c r="J246" s="4">
        <v>14</v>
      </c>
      <c r="K246" s="4" t="s">
        <v>21</v>
      </c>
      <c r="L246" s="4" t="s">
        <v>22</v>
      </c>
      <c r="M246" s="4">
        <v>2</v>
      </c>
    </row>
    <row r="247" spans="1:13" x14ac:dyDescent="0.3">
      <c r="A247" s="2">
        <v>245</v>
      </c>
      <c r="B247" s="2" t="s">
        <v>536</v>
      </c>
      <c r="C247" s="2" t="s">
        <v>537</v>
      </c>
      <c r="D247" s="2" t="s">
        <v>101</v>
      </c>
      <c r="E247" s="2" t="s">
        <v>45</v>
      </c>
      <c r="F247" s="2" t="s">
        <v>102</v>
      </c>
      <c r="G247" s="3">
        <v>133000</v>
      </c>
      <c r="H247" s="2" t="s">
        <v>36</v>
      </c>
      <c r="I247" s="2" t="s">
        <v>493</v>
      </c>
      <c r="J247" s="2">
        <v>17</v>
      </c>
      <c r="K247" s="2" t="s">
        <v>21</v>
      </c>
      <c r="L247" s="2" t="s">
        <v>22</v>
      </c>
      <c r="M247" s="2">
        <v>8</v>
      </c>
    </row>
    <row r="248" spans="1:13" x14ac:dyDescent="0.3">
      <c r="A248" s="4">
        <v>246</v>
      </c>
      <c r="B248" s="4" t="s">
        <v>538</v>
      </c>
      <c r="C248" s="4" t="s">
        <v>157</v>
      </c>
      <c r="D248" s="4" t="s">
        <v>30</v>
      </c>
      <c r="E248" s="4" t="s">
        <v>50</v>
      </c>
      <c r="F248" s="4" t="s">
        <v>31</v>
      </c>
      <c r="G248" s="5">
        <v>53000</v>
      </c>
      <c r="H248" s="4" t="s">
        <v>36</v>
      </c>
      <c r="I248" s="4" t="s">
        <v>493</v>
      </c>
      <c r="J248" s="4">
        <v>18</v>
      </c>
      <c r="K248" s="4" t="s">
        <v>21</v>
      </c>
      <c r="L248" s="4" t="s">
        <v>22</v>
      </c>
      <c r="M248" s="4">
        <v>1</v>
      </c>
    </row>
    <row r="249" spans="1:13" x14ac:dyDescent="0.3">
      <c r="A249" s="2">
        <v>247</v>
      </c>
      <c r="B249" s="2" t="s">
        <v>539</v>
      </c>
      <c r="C249" s="2" t="s">
        <v>540</v>
      </c>
      <c r="D249" s="2" t="s">
        <v>49</v>
      </c>
      <c r="E249" s="2" t="s">
        <v>55</v>
      </c>
      <c r="F249" s="2" t="s">
        <v>189</v>
      </c>
      <c r="G249" s="3">
        <v>45000</v>
      </c>
      <c r="H249" s="2" t="s">
        <v>36</v>
      </c>
      <c r="I249" s="2" t="s">
        <v>493</v>
      </c>
      <c r="J249" s="2">
        <v>6</v>
      </c>
      <c r="K249" s="2" t="s">
        <v>21</v>
      </c>
      <c r="L249" s="2" t="s">
        <v>22</v>
      </c>
      <c r="M249" s="2">
        <v>1</v>
      </c>
    </row>
    <row r="250" spans="1:13" x14ac:dyDescent="0.3">
      <c r="A250" s="4">
        <v>248</v>
      </c>
      <c r="B250" s="4" t="s">
        <v>541</v>
      </c>
      <c r="C250" s="4" t="s">
        <v>542</v>
      </c>
      <c r="D250" s="4" t="s">
        <v>49</v>
      </c>
      <c r="E250" s="4" t="s">
        <v>45</v>
      </c>
      <c r="F250" s="4" t="s">
        <v>51</v>
      </c>
      <c r="G250" s="5">
        <v>47000</v>
      </c>
      <c r="H250" s="4" t="s">
        <v>36</v>
      </c>
      <c r="I250" s="4" t="s">
        <v>493</v>
      </c>
      <c r="J250" s="4">
        <v>8</v>
      </c>
      <c r="K250" s="4" t="s">
        <v>27</v>
      </c>
      <c r="L250" s="4" t="s">
        <v>22</v>
      </c>
      <c r="M250" s="4">
        <v>4</v>
      </c>
    </row>
    <row r="251" spans="1:13" x14ac:dyDescent="0.3">
      <c r="A251" s="2">
        <v>249</v>
      </c>
      <c r="B251" s="2" t="s">
        <v>543</v>
      </c>
      <c r="C251" s="2" t="s">
        <v>544</v>
      </c>
      <c r="D251" s="2" t="s">
        <v>49</v>
      </c>
      <c r="E251" s="2" t="s">
        <v>60</v>
      </c>
      <c r="F251" s="2" t="s">
        <v>108</v>
      </c>
      <c r="G251" s="3">
        <v>32000</v>
      </c>
      <c r="H251" s="2" t="s">
        <v>19</v>
      </c>
      <c r="I251" s="2" t="s">
        <v>493</v>
      </c>
      <c r="J251" s="2">
        <v>13</v>
      </c>
      <c r="K251" s="2" t="s">
        <v>27</v>
      </c>
      <c r="L251" s="2" t="s">
        <v>22</v>
      </c>
      <c r="M251" s="2">
        <v>4</v>
      </c>
    </row>
    <row r="252" spans="1:13" x14ac:dyDescent="0.3">
      <c r="A252" s="4">
        <v>250</v>
      </c>
      <c r="B252" s="4" t="s">
        <v>545</v>
      </c>
      <c r="C252" s="4" t="s">
        <v>34</v>
      </c>
      <c r="D252" s="4" t="s">
        <v>101</v>
      </c>
      <c r="E252" s="4" t="s">
        <v>50</v>
      </c>
      <c r="F252" s="4" t="s">
        <v>147</v>
      </c>
      <c r="G252" s="5">
        <v>66000</v>
      </c>
      <c r="H252" s="4" t="s">
        <v>32</v>
      </c>
      <c r="I252" s="4" t="s">
        <v>493</v>
      </c>
      <c r="J252" s="4">
        <v>18</v>
      </c>
      <c r="K252" s="4" t="s">
        <v>21</v>
      </c>
      <c r="L252" s="4" t="s">
        <v>22</v>
      </c>
      <c r="M252" s="4">
        <v>6</v>
      </c>
    </row>
    <row r="253" spans="1:13" x14ac:dyDescent="0.3">
      <c r="A253" s="2">
        <v>251</v>
      </c>
      <c r="B253" s="2" t="s">
        <v>546</v>
      </c>
      <c r="C253" s="2" t="s">
        <v>547</v>
      </c>
      <c r="D253" s="2" t="s">
        <v>30</v>
      </c>
      <c r="E253" s="2" t="s">
        <v>39</v>
      </c>
      <c r="F253" s="2" t="s">
        <v>35</v>
      </c>
      <c r="G253" s="3">
        <v>56000</v>
      </c>
      <c r="H253" s="2" t="s">
        <v>36</v>
      </c>
      <c r="I253" s="2" t="s">
        <v>493</v>
      </c>
      <c r="J253" s="2">
        <v>17</v>
      </c>
      <c r="K253" s="2" t="s">
        <v>21</v>
      </c>
      <c r="L253" s="2" t="s">
        <v>46</v>
      </c>
      <c r="M253" s="2">
        <v>5</v>
      </c>
    </row>
    <row r="254" spans="1:13" x14ac:dyDescent="0.3">
      <c r="A254" s="4">
        <v>252</v>
      </c>
      <c r="B254" s="4" t="s">
        <v>548</v>
      </c>
      <c r="C254" s="4" t="s">
        <v>549</v>
      </c>
      <c r="D254" s="4" t="s">
        <v>101</v>
      </c>
      <c r="E254" s="4" t="s">
        <v>25</v>
      </c>
      <c r="F254" s="4" t="s">
        <v>126</v>
      </c>
      <c r="G254" s="5">
        <v>142000</v>
      </c>
      <c r="H254" s="4" t="s">
        <v>36</v>
      </c>
      <c r="I254" s="4" t="s">
        <v>493</v>
      </c>
      <c r="J254" s="4">
        <v>17</v>
      </c>
      <c r="K254" s="4" t="s">
        <v>27</v>
      </c>
      <c r="L254" s="4" t="s">
        <v>46</v>
      </c>
      <c r="M254" s="4">
        <v>10</v>
      </c>
    </row>
    <row r="255" spans="1:13" x14ac:dyDescent="0.3">
      <c r="A255" s="2">
        <v>253</v>
      </c>
      <c r="B255" s="2" t="s">
        <v>550</v>
      </c>
      <c r="C255" s="2" t="s">
        <v>551</v>
      </c>
      <c r="D255" s="2" t="s">
        <v>66</v>
      </c>
      <c r="E255" s="2" t="s">
        <v>50</v>
      </c>
      <c r="F255" s="2" t="s">
        <v>279</v>
      </c>
      <c r="G255" s="3">
        <v>101000</v>
      </c>
      <c r="H255" s="2" t="s">
        <v>161</v>
      </c>
      <c r="I255" s="2" t="s">
        <v>493</v>
      </c>
      <c r="J255" s="2">
        <v>0</v>
      </c>
      <c r="K255" s="2" t="s">
        <v>21</v>
      </c>
      <c r="L255" s="2" t="s">
        <v>57</v>
      </c>
      <c r="M255" s="2">
        <v>0</v>
      </c>
    </row>
    <row r="256" spans="1:13" x14ac:dyDescent="0.3">
      <c r="A256" s="4">
        <v>254</v>
      </c>
      <c r="B256" s="4" t="s">
        <v>552</v>
      </c>
      <c r="C256" s="4" t="s">
        <v>553</v>
      </c>
      <c r="D256" s="4" t="s">
        <v>54</v>
      </c>
      <c r="E256" s="4" t="s">
        <v>55</v>
      </c>
      <c r="F256" s="4" t="s">
        <v>158</v>
      </c>
      <c r="G256" s="5">
        <v>21000</v>
      </c>
      <c r="H256" s="4" t="s">
        <v>36</v>
      </c>
      <c r="I256" s="4" t="s">
        <v>493</v>
      </c>
      <c r="J256" s="4">
        <v>2</v>
      </c>
      <c r="K256" s="4" t="s">
        <v>27</v>
      </c>
      <c r="L256" s="4" t="s">
        <v>46</v>
      </c>
      <c r="M256" s="4">
        <v>10</v>
      </c>
    </row>
    <row r="257" spans="1:13" x14ac:dyDescent="0.3">
      <c r="A257" s="2">
        <v>255</v>
      </c>
      <c r="B257" s="2" t="s">
        <v>554</v>
      </c>
      <c r="C257" s="2" t="s">
        <v>555</v>
      </c>
      <c r="D257" s="2" t="s">
        <v>30</v>
      </c>
      <c r="E257" s="2" t="s">
        <v>17</v>
      </c>
      <c r="F257" s="2" t="s">
        <v>118</v>
      </c>
      <c r="G257" s="3">
        <v>53000</v>
      </c>
      <c r="H257" s="2" t="s">
        <v>32</v>
      </c>
      <c r="I257" s="2" t="s">
        <v>493</v>
      </c>
      <c r="J257" s="2">
        <v>7</v>
      </c>
      <c r="K257" s="2" t="s">
        <v>21</v>
      </c>
      <c r="L257" s="2" t="s">
        <v>57</v>
      </c>
      <c r="M257" s="2">
        <v>7</v>
      </c>
    </row>
    <row r="258" spans="1:13" x14ac:dyDescent="0.3">
      <c r="A258" s="4">
        <v>256</v>
      </c>
      <c r="B258" s="4" t="s">
        <v>556</v>
      </c>
      <c r="C258" s="4" t="s">
        <v>557</v>
      </c>
      <c r="D258" s="4" t="s">
        <v>16</v>
      </c>
      <c r="E258" s="4" t="s">
        <v>55</v>
      </c>
      <c r="F258" s="4" t="s">
        <v>74</v>
      </c>
      <c r="G258" s="5">
        <v>50000</v>
      </c>
      <c r="H258" s="4" t="s">
        <v>19</v>
      </c>
      <c r="I258" s="4" t="s">
        <v>493</v>
      </c>
      <c r="J258" s="4">
        <v>17</v>
      </c>
      <c r="K258" s="4" t="s">
        <v>27</v>
      </c>
      <c r="L258" s="4" t="s">
        <v>22</v>
      </c>
      <c r="M258" s="4">
        <v>10</v>
      </c>
    </row>
    <row r="259" spans="1:13" x14ac:dyDescent="0.3">
      <c r="A259" s="2">
        <v>257</v>
      </c>
      <c r="B259" s="2" t="s">
        <v>558</v>
      </c>
      <c r="C259" s="2" t="s">
        <v>559</v>
      </c>
      <c r="D259" s="2" t="s">
        <v>49</v>
      </c>
      <c r="E259" s="2" t="s">
        <v>17</v>
      </c>
      <c r="F259" s="2" t="s">
        <v>189</v>
      </c>
      <c r="G259" s="3">
        <v>39000</v>
      </c>
      <c r="H259" s="2" t="s">
        <v>161</v>
      </c>
      <c r="I259" s="2" t="s">
        <v>493</v>
      </c>
      <c r="J259" s="2">
        <v>11</v>
      </c>
      <c r="K259" s="2" t="s">
        <v>27</v>
      </c>
      <c r="L259" s="2" t="s">
        <v>22</v>
      </c>
      <c r="M259" s="2">
        <v>9</v>
      </c>
    </row>
    <row r="260" spans="1:13" x14ac:dyDescent="0.3">
      <c r="A260" s="4">
        <v>258</v>
      </c>
      <c r="B260" s="4" t="s">
        <v>560</v>
      </c>
      <c r="C260" s="4" t="s">
        <v>561</v>
      </c>
      <c r="D260" s="4" t="s">
        <v>49</v>
      </c>
      <c r="E260" s="4" t="s">
        <v>25</v>
      </c>
      <c r="F260" s="4" t="s">
        <v>189</v>
      </c>
      <c r="G260" s="5">
        <v>51000</v>
      </c>
      <c r="H260" s="4" t="s">
        <v>19</v>
      </c>
      <c r="I260" s="4" t="s">
        <v>493</v>
      </c>
      <c r="J260" s="4">
        <v>10</v>
      </c>
      <c r="K260" s="4" t="s">
        <v>21</v>
      </c>
      <c r="L260" s="4" t="s">
        <v>22</v>
      </c>
      <c r="M260" s="4">
        <v>5</v>
      </c>
    </row>
    <row r="261" spans="1:13" x14ac:dyDescent="0.3">
      <c r="A261" s="2">
        <v>259</v>
      </c>
      <c r="B261" s="2" t="s">
        <v>562</v>
      </c>
      <c r="C261" s="2" t="s">
        <v>468</v>
      </c>
      <c r="D261" s="2" t="s">
        <v>16</v>
      </c>
      <c r="E261" s="2" t="s">
        <v>60</v>
      </c>
      <c r="F261" s="2" t="s">
        <v>42</v>
      </c>
      <c r="G261" s="3">
        <v>82000</v>
      </c>
      <c r="H261" s="2" t="s">
        <v>36</v>
      </c>
      <c r="I261" s="2" t="s">
        <v>493</v>
      </c>
      <c r="J261" s="2">
        <v>0</v>
      </c>
      <c r="K261" s="2" t="s">
        <v>21</v>
      </c>
      <c r="L261" s="2" t="s">
        <v>57</v>
      </c>
      <c r="M261" s="2">
        <v>6</v>
      </c>
    </row>
    <row r="262" spans="1:13" x14ac:dyDescent="0.3">
      <c r="A262" s="4">
        <v>260</v>
      </c>
      <c r="B262" s="4" t="s">
        <v>563</v>
      </c>
      <c r="C262" s="4" t="s">
        <v>564</v>
      </c>
      <c r="D262" s="4" t="s">
        <v>59</v>
      </c>
      <c r="E262" s="4" t="s">
        <v>55</v>
      </c>
      <c r="F262" s="4" t="s">
        <v>85</v>
      </c>
      <c r="G262" s="5">
        <v>85000</v>
      </c>
      <c r="H262" s="4" t="s">
        <v>19</v>
      </c>
      <c r="I262" s="4" t="s">
        <v>493</v>
      </c>
      <c r="J262" s="4">
        <v>5</v>
      </c>
      <c r="K262" s="4" t="s">
        <v>27</v>
      </c>
      <c r="L262" s="4" t="s">
        <v>22</v>
      </c>
      <c r="M262" s="4">
        <v>6</v>
      </c>
    </row>
    <row r="263" spans="1:13" x14ac:dyDescent="0.3">
      <c r="A263" s="2">
        <v>261</v>
      </c>
      <c r="B263" s="2" t="s">
        <v>565</v>
      </c>
      <c r="C263" s="2" t="s">
        <v>566</v>
      </c>
      <c r="D263" s="2" t="s">
        <v>49</v>
      </c>
      <c r="E263" s="2" t="s">
        <v>60</v>
      </c>
      <c r="F263" s="2" t="s">
        <v>189</v>
      </c>
      <c r="G263" s="3">
        <v>35000</v>
      </c>
      <c r="H263" s="2" t="s">
        <v>36</v>
      </c>
      <c r="I263" s="2" t="s">
        <v>493</v>
      </c>
      <c r="J263" s="2">
        <v>6</v>
      </c>
      <c r="K263" s="2" t="s">
        <v>27</v>
      </c>
      <c r="L263" s="2" t="s">
        <v>57</v>
      </c>
      <c r="M263" s="2">
        <v>11</v>
      </c>
    </row>
    <row r="264" spans="1:13" x14ac:dyDescent="0.3">
      <c r="A264" s="4">
        <v>262</v>
      </c>
      <c r="B264" s="4" t="s">
        <v>567</v>
      </c>
      <c r="C264" s="4" t="s">
        <v>568</v>
      </c>
      <c r="D264" s="4" t="s">
        <v>54</v>
      </c>
      <c r="E264" s="4" t="s">
        <v>73</v>
      </c>
      <c r="F264" s="4" t="s">
        <v>200</v>
      </c>
      <c r="G264" s="5">
        <v>74000</v>
      </c>
      <c r="H264" s="4" t="s">
        <v>26</v>
      </c>
      <c r="I264" s="4" t="s">
        <v>493</v>
      </c>
      <c r="J264" s="4">
        <v>1</v>
      </c>
      <c r="K264" s="4" t="s">
        <v>27</v>
      </c>
      <c r="L264" s="4" t="s">
        <v>22</v>
      </c>
      <c r="M264" s="4">
        <v>11</v>
      </c>
    </row>
    <row r="265" spans="1:13" x14ac:dyDescent="0.3">
      <c r="A265" s="2">
        <v>263</v>
      </c>
      <c r="B265" s="2" t="s">
        <v>569</v>
      </c>
      <c r="C265" s="2" t="s">
        <v>570</v>
      </c>
      <c r="D265" s="2" t="s">
        <v>59</v>
      </c>
      <c r="E265" s="2" t="s">
        <v>55</v>
      </c>
      <c r="F265" s="2" t="s">
        <v>61</v>
      </c>
      <c r="G265" s="3">
        <v>68000</v>
      </c>
      <c r="H265" s="2" t="s">
        <v>19</v>
      </c>
      <c r="I265" s="2" t="s">
        <v>493</v>
      </c>
      <c r="J265" s="2">
        <v>1</v>
      </c>
      <c r="K265" s="2" t="s">
        <v>21</v>
      </c>
      <c r="L265" s="2" t="s">
        <v>57</v>
      </c>
      <c r="M265" s="2">
        <v>12</v>
      </c>
    </row>
    <row r="266" spans="1:13" x14ac:dyDescent="0.3">
      <c r="A266" s="4">
        <v>264</v>
      </c>
      <c r="B266" s="4" t="s">
        <v>571</v>
      </c>
      <c r="C266" s="4" t="s">
        <v>572</v>
      </c>
      <c r="D266" s="4" t="s">
        <v>49</v>
      </c>
      <c r="E266" s="4" t="s">
        <v>55</v>
      </c>
      <c r="F266" s="4" t="s">
        <v>189</v>
      </c>
      <c r="G266" s="5">
        <v>41000</v>
      </c>
      <c r="H266" s="4" t="s">
        <v>36</v>
      </c>
      <c r="I266" s="4" t="s">
        <v>493</v>
      </c>
      <c r="J266" s="4">
        <v>7</v>
      </c>
      <c r="K266" s="4" t="s">
        <v>27</v>
      </c>
      <c r="L266" s="4" t="s">
        <v>22</v>
      </c>
      <c r="M266" s="4">
        <v>10</v>
      </c>
    </row>
    <row r="267" spans="1:13" x14ac:dyDescent="0.3">
      <c r="A267" s="2">
        <v>265</v>
      </c>
      <c r="B267" s="2" t="s">
        <v>573</v>
      </c>
      <c r="C267" s="2" t="s">
        <v>574</v>
      </c>
      <c r="D267" s="2" t="s">
        <v>49</v>
      </c>
      <c r="E267" s="2" t="s">
        <v>45</v>
      </c>
      <c r="F267" s="2" t="s">
        <v>70</v>
      </c>
      <c r="G267" s="3">
        <v>34000</v>
      </c>
      <c r="H267" s="2" t="s">
        <v>36</v>
      </c>
      <c r="I267" s="2" t="s">
        <v>493</v>
      </c>
      <c r="J267" s="2">
        <v>6</v>
      </c>
      <c r="K267" s="2" t="s">
        <v>21</v>
      </c>
      <c r="L267" s="2" t="s">
        <v>22</v>
      </c>
      <c r="M267" s="2">
        <v>1</v>
      </c>
    </row>
    <row r="268" spans="1:13" x14ac:dyDescent="0.3">
      <c r="A268" s="4">
        <v>266</v>
      </c>
      <c r="B268" s="4" t="s">
        <v>575</v>
      </c>
      <c r="C268" s="4" t="s">
        <v>576</v>
      </c>
      <c r="D268" s="4" t="s">
        <v>30</v>
      </c>
      <c r="E268" s="4" t="s">
        <v>50</v>
      </c>
      <c r="F268" s="4" t="s">
        <v>35</v>
      </c>
      <c r="G268" s="5">
        <v>46000</v>
      </c>
      <c r="H268" s="4" t="s">
        <v>36</v>
      </c>
      <c r="I268" s="4" t="s">
        <v>493</v>
      </c>
      <c r="J268" s="4">
        <v>0</v>
      </c>
      <c r="K268" s="4" t="s">
        <v>27</v>
      </c>
      <c r="L268" s="4" t="s">
        <v>22</v>
      </c>
      <c r="M268" s="4">
        <v>7</v>
      </c>
    </row>
    <row r="269" spans="1:13" x14ac:dyDescent="0.3">
      <c r="A269" s="2">
        <v>267</v>
      </c>
      <c r="B269" s="2" t="s">
        <v>577</v>
      </c>
      <c r="C269" s="2" t="s">
        <v>578</v>
      </c>
      <c r="D269" s="2" t="s">
        <v>101</v>
      </c>
      <c r="E269" s="2" t="s">
        <v>39</v>
      </c>
      <c r="F269" s="2" t="s">
        <v>126</v>
      </c>
      <c r="G269" s="3">
        <v>137000</v>
      </c>
      <c r="H269" s="2" t="s">
        <v>36</v>
      </c>
      <c r="I269" s="2" t="s">
        <v>493</v>
      </c>
      <c r="J269" s="2">
        <v>3</v>
      </c>
      <c r="K269" s="2" t="s">
        <v>21</v>
      </c>
      <c r="L269" s="2" t="s">
        <v>57</v>
      </c>
      <c r="M269" s="2">
        <v>9</v>
      </c>
    </row>
    <row r="270" spans="1:13" x14ac:dyDescent="0.3">
      <c r="A270" s="4">
        <v>268</v>
      </c>
      <c r="B270" s="4" t="s">
        <v>579</v>
      </c>
      <c r="C270" s="4" t="s">
        <v>580</v>
      </c>
      <c r="D270" s="4" t="s">
        <v>66</v>
      </c>
      <c r="E270" s="4" t="s">
        <v>25</v>
      </c>
      <c r="F270" s="4" t="s">
        <v>121</v>
      </c>
      <c r="G270" s="5">
        <v>66000</v>
      </c>
      <c r="H270" s="4" t="s">
        <v>36</v>
      </c>
      <c r="I270" s="4" t="s">
        <v>493</v>
      </c>
      <c r="J270" s="4">
        <v>6</v>
      </c>
      <c r="K270" s="4" t="s">
        <v>27</v>
      </c>
      <c r="L270" s="4" t="s">
        <v>22</v>
      </c>
      <c r="M270" s="4">
        <v>7</v>
      </c>
    </row>
    <row r="271" spans="1:13" x14ac:dyDescent="0.3">
      <c r="A271" s="2">
        <v>269</v>
      </c>
      <c r="B271" s="2" t="s">
        <v>581</v>
      </c>
      <c r="C271" s="2" t="s">
        <v>582</v>
      </c>
      <c r="D271" s="2" t="s">
        <v>54</v>
      </c>
      <c r="E271" s="2" t="s">
        <v>39</v>
      </c>
      <c r="F271" s="2" t="s">
        <v>56</v>
      </c>
      <c r="G271" s="3">
        <v>49000</v>
      </c>
      <c r="H271" s="2" t="s">
        <v>19</v>
      </c>
      <c r="I271" s="2" t="s">
        <v>493</v>
      </c>
      <c r="J271" s="2">
        <v>4</v>
      </c>
      <c r="K271" s="2" t="s">
        <v>27</v>
      </c>
      <c r="L271" s="2" t="s">
        <v>22</v>
      </c>
      <c r="M271" s="2">
        <v>3</v>
      </c>
    </row>
    <row r="272" spans="1:13" x14ac:dyDescent="0.3">
      <c r="A272" s="4">
        <v>270</v>
      </c>
      <c r="B272" s="4" t="s">
        <v>583</v>
      </c>
      <c r="C272" s="4" t="s">
        <v>584</v>
      </c>
      <c r="D272" s="4" t="s">
        <v>16</v>
      </c>
      <c r="E272" s="4" t="s">
        <v>55</v>
      </c>
      <c r="F272" s="4" t="s">
        <v>266</v>
      </c>
      <c r="G272" s="5">
        <v>52000</v>
      </c>
      <c r="H272" s="4" t="s">
        <v>19</v>
      </c>
      <c r="I272" s="4" t="s">
        <v>585</v>
      </c>
      <c r="J272" s="4">
        <v>16</v>
      </c>
      <c r="K272" s="4" t="s">
        <v>21</v>
      </c>
      <c r="L272" s="4" t="s">
        <v>46</v>
      </c>
      <c r="M272" s="4">
        <v>7</v>
      </c>
    </row>
    <row r="273" spans="1:13" x14ac:dyDescent="0.3">
      <c r="A273" s="2">
        <v>271</v>
      </c>
      <c r="B273" s="2" t="s">
        <v>586</v>
      </c>
      <c r="C273" s="2" t="s">
        <v>128</v>
      </c>
      <c r="D273" s="2" t="s">
        <v>49</v>
      </c>
      <c r="E273" s="2" t="s">
        <v>55</v>
      </c>
      <c r="F273" s="2" t="s">
        <v>189</v>
      </c>
      <c r="G273" s="3">
        <v>23000</v>
      </c>
      <c r="H273" s="2" t="s">
        <v>19</v>
      </c>
      <c r="I273" s="2" t="s">
        <v>585</v>
      </c>
      <c r="J273" s="2">
        <v>7</v>
      </c>
      <c r="K273" s="2" t="s">
        <v>21</v>
      </c>
      <c r="L273" s="2" t="s">
        <v>22</v>
      </c>
      <c r="M273" s="2">
        <v>9</v>
      </c>
    </row>
    <row r="274" spans="1:13" x14ac:dyDescent="0.3">
      <c r="A274" s="4">
        <v>272</v>
      </c>
      <c r="B274" s="4" t="s">
        <v>587</v>
      </c>
      <c r="C274" s="4" t="s">
        <v>588</v>
      </c>
      <c r="D274" s="4" t="s">
        <v>16</v>
      </c>
      <c r="E274" s="4" t="s">
        <v>50</v>
      </c>
      <c r="F274" s="4" t="s">
        <v>266</v>
      </c>
      <c r="G274" s="5">
        <v>71000</v>
      </c>
      <c r="H274" s="4" t="s">
        <v>19</v>
      </c>
      <c r="I274" s="4" t="s">
        <v>585</v>
      </c>
      <c r="J274" s="4">
        <v>18</v>
      </c>
      <c r="K274" s="4" t="s">
        <v>21</v>
      </c>
      <c r="L274" s="4" t="s">
        <v>22</v>
      </c>
      <c r="M274" s="4">
        <v>5</v>
      </c>
    </row>
    <row r="275" spans="1:13" x14ac:dyDescent="0.3">
      <c r="A275" s="2">
        <v>273</v>
      </c>
      <c r="B275" s="2" t="s">
        <v>589</v>
      </c>
      <c r="C275" s="2" t="s">
        <v>321</v>
      </c>
      <c r="D275" s="2" t="s">
        <v>90</v>
      </c>
      <c r="E275" s="2" t="s">
        <v>55</v>
      </c>
      <c r="F275" s="2" t="s">
        <v>113</v>
      </c>
      <c r="G275" s="3">
        <v>43000</v>
      </c>
      <c r="H275" s="2" t="s">
        <v>36</v>
      </c>
      <c r="I275" s="2" t="s">
        <v>585</v>
      </c>
      <c r="J275" s="2">
        <v>10</v>
      </c>
      <c r="K275" s="2" t="s">
        <v>27</v>
      </c>
      <c r="L275" s="2" t="s">
        <v>22</v>
      </c>
      <c r="M275" s="2">
        <v>1</v>
      </c>
    </row>
    <row r="276" spans="1:13" x14ac:dyDescent="0.3">
      <c r="A276" s="4">
        <v>274</v>
      </c>
      <c r="B276" s="4" t="s">
        <v>590</v>
      </c>
      <c r="C276" s="4" t="s">
        <v>591</v>
      </c>
      <c r="D276" s="4" t="s">
        <v>59</v>
      </c>
      <c r="E276" s="4" t="s">
        <v>73</v>
      </c>
      <c r="F276" s="4" t="s">
        <v>61</v>
      </c>
      <c r="G276" s="5">
        <v>63000</v>
      </c>
      <c r="H276" s="4" t="s">
        <v>36</v>
      </c>
      <c r="I276" s="4" t="s">
        <v>585</v>
      </c>
      <c r="J276" s="4">
        <v>8</v>
      </c>
      <c r="K276" s="4" t="s">
        <v>27</v>
      </c>
      <c r="L276" s="4" t="s">
        <v>22</v>
      </c>
      <c r="M276" s="4">
        <v>2</v>
      </c>
    </row>
    <row r="277" spans="1:13" x14ac:dyDescent="0.3">
      <c r="A277" s="2">
        <v>275</v>
      </c>
      <c r="B277" s="2" t="s">
        <v>592</v>
      </c>
      <c r="C277" s="2" t="s">
        <v>593</v>
      </c>
      <c r="D277" s="2" t="s">
        <v>66</v>
      </c>
      <c r="E277" s="2" t="s">
        <v>45</v>
      </c>
      <c r="F277" s="2" t="s">
        <v>121</v>
      </c>
      <c r="G277" s="3">
        <v>93000</v>
      </c>
      <c r="H277" s="2" t="s">
        <v>19</v>
      </c>
      <c r="I277" s="2" t="s">
        <v>585</v>
      </c>
      <c r="J277" s="2">
        <v>18</v>
      </c>
      <c r="K277" s="2" t="s">
        <v>27</v>
      </c>
      <c r="L277" s="2" t="s">
        <v>22</v>
      </c>
      <c r="M277" s="2">
        <v>12</v>
      </c>
    </row>
    <row r="278" spans="1:13" x14ac:dyDescent="0.3">
      <c r="A278" s="4">
        <v>276</v>
      </c>
      <c r="B278" s="4" t="s">
        <v>594</v>
      </c>
      <c r="C278" s="4" t="s">
        <v>595</v>
      </c>
      <c r="D278" s="4" t="s">
        <v>101</v>
      </c>
      <c r="E278" s="4" t="s">
        <v>50</v>
      </c>
      <c r="F278" s="4" t="s">
        <v>147</v>
      </c>
      <c r="G278" s="5">
        <v>143000</v>
      </c>
      <c r="H278" s="4" t="s">
        <v>36</v>
      </c>
      <c r="I278" s="4" t="s">
        <v>585</v>
      </c>
      <c r="J278" s="4">
        <v>2</v>
      </c>
      <c r="K278" s="4" t="s">
        <v>27</v>
      </c>
      <c r="L278" s="4" t="s">
        <v>22</v>
      </c>
      <c r="M278" s="4">
        <v>8</v>
      </c>
    </row>
    <row r="279" spans="1:13" x14ac:dyDescent="0.3">
      <c r="A279" s="2">
        <v>277</v>
      </c>
      <c r="B279" s="2" t="s">
        <v>596</v>
      </c>
      <c r="C279" s="2" t="s">
        <v>597</v>
      </c>
      <c r="D279" s="2" t="s">
        <v>101</v>
      </c>
      <c r="E279" s="2" t="s">
        <v>25</v>
      </c>
      <c r="F279" s="2" t="s">
        <v>147</v>
      </c>
      <c r="G279" s="3">
        <v>72000</v>
      </c>
      <c r="H279" s="2" t="s">
        <v>32</v>
      </c>
      <c r="I279" s="2" t="s">
        <v>585</v>
      </c>
      <c r="J279" s="2">
        <v>3</v>
      </c>
      <c r="K279" s="2" t="s">
        <v>27</v>
      </c>
      <c r="L279" s="2" t="s">
        <v>22</v>
      </c>
      <c r="M279" s="2">
        <v>9</v>
      </c>
    </row>
    <row r="280" spans="1:13" x14ac:dyDescent="0.3">
      <c r="A280" s="4">
        <v>278</v>
      </c>
      <c r="B280" s="4" t="s">
        <v>598</v>
      </c>
      <c r="C280" s="4" t="s">
        <v>355</v>
      </c>
      <c r="D280" s="4" t="s">
        <v>49</v>
      </c>
      <c r="E280" s="4" t="s">
        <v>55</v>
      </c>
      <c r="F280" s="4" t="s">
        <v>108</v>
      </c>
      <c r="G280" s="5">
        <v>60000</v>
      </c>
      <c r="H280" s="4" t="s">
        <v>19</v>
      </c>
      <c r="I280" s="4" t="s">
        <v>585</v>
      </c>
      <c r="J280" s="4">
        <v>11</v>
      </c>
      <c r="K280" s="4" t="s">
        <v>27</v>
      </c>
      <c r="L280" s="4" t="s">
        <v>22</v>
      </c>
      <c r="M280" s="4">
        <v>1</v>
      </c>
    </row>
    <row r="281" spans="1:13" x14ac:dyDescent="0.3">
      <c r="A281" s="2">
        <v>279</v>
      </c>
      <c r="B281" s="2" t="s">
        <v>599</v>
      </c>
      <c r="C281" s="2" t="s">
        <v>600</v>
      </c>
      <c r="D281" s="2" t="s">
        <v>30</v>
      </c>
      <c r="E281" s="2" t="s">
        <v>50</v>
      </c>
      <c r="F281" s="2" t="s">
        <v>35</v>
      </c>
      <c r="G281" s="3">
        <v>44000</v>
      </c>
      <c r="H281" s="2" t="s">
        <v>26</v>
      </c>
      <c r="I281" s="2" t="s">
        <v>585</v>
      </c>
      <c r="J281" s="2">
        <v>6</v>
      </c>
      <c r="K281" s="2" t="s">
        <v>27</v>
      </c>
      <c r="L281" s="2" t="s">
        <v>22</v>
      </c>
      <c r="M281" s="2">
        <v>9</v>
      </c>
    </row>
    <row r="282" spans="1:13" x14ac:dyDescent="0.3">
      <c r="A282" s="4">
        <v>280</v>
      </c>
      <c r="B282" s="4" t="s">
        <v>601</v>
      </c>
      <c r="C282" s="4" t="s">
        <v>602</v>
      </c>
      <c r="D282" s="4" t="s">
        <v>90</v>
      </c>
      <c r="E282" s="4" t="s">
        <v>39</v>
      </c>
      <c r="F282" s="4" t="s">
        <v>113</v>
      </c>
      <c r="G282" s="5">
        <v>16000</v>
      </c>
      <c r="H282" s="4" t="s">
        <v>19</v>
      </c>
      <c r="I282" s="4" t="s">
        <v>585</v>
      </c>
      <c r="J282" s="4">
        <v>15</v>
      </c>
      <c r="K282" s="4" t="s">
        <v>21</v>
      </c>
      <c r="L282" s="4" t="s">
        <v>57</v>
      </c>
      <c r="M282" s="4">
        <v>0</v>
      </c>
    </row>
    <row r="283" spans="1:13" x14ac:dyDescent="0.3">
      <c r="A283" s="2">
        <v>281</v>
      </c>
      <c r="B283" s="2" t="s">
        <v>603</v>
      </c>
      <c r="C283" s="2" t="s">
        <v>604</v>
      </c>
      <c r="D283" s="2" t="s">
        <v>54</v>
      </c>
      <c r="E283" s="2" t="s">
        <v>17</v>
      </c>
      <c r="F283" s="2" t="s">
        <v>158</v>
      </c>
      <c r="G283" s="3">
        <v>26000</v>
      </c>
      <c r="H283" s="2" t="s">
        <v>161</v>
      </c>
      <c r="I283" s="2" t="s">
        <v>585</v>
      </c>
      <c r="J283" s="2">
        <v>11</v>
      </c>
      <c r="K283" s="2" t="s">
        <v>27</v>
      </c>
      <c r="L283" s="2" t="s">
        <v>22</v>
      </c>
      <c r="M283" s="2">
        <v>0</v>
      </c>
    </row>
    <row r="284" spans="1:13" x14ac:dyDescent="0.3">
      <c r="A284" s="4">
        <v>282</v>
      </c>
      <c r="B284" s="4" t="s">
        <v>605</v>
      </c>
      <c r="C284" s="4" t="s">
        <v>606</v>
      </c>
      <c r="D284" s="4" t="s">
        <v>16</v>
      </c>
      <c r="E284" s="4" t="s">
        <v>50</v>
      </c>
      <c r="F284" s="4" t="s">
        <v>42</v>
      </c>
      <c r="G284" s="5">
        <v>78000</v>
      </c>
      <c r="H284" s="4" t="s">
        <v>26</v>
      </c>
      <c r="I284" s="4" t="s">
        <v>585</v>
      </c>
      <c r="J284" s="4">
        <v>13</v>
      </c>
      <c r="K284" s="4" t="s">
        <v>21</v>
      </c>
      <c r="L284" s="4" t="s">
        <v>46</v>
      </c>
      <c r="M284" s="4">
        <v>0</v>
      </c>
    </row>
    <row r="285" spans="1:13" x14ac:dyDescent="0.3">
      <c r="A285" s="2">
        <v>283</v>
      </c>
      <c r="B285" s="2" t="s">
        <v>607</v>
      </c>
      <c r="C285" s="2" t="s">
        <v>529</v>
      </c>
      <c r="D285" s="2" t="s">
        <v>66</v>
      </c>
      <c r="E285" s="2" t="s">
        <v>73</v>
      </c>
      <c r="F285" s="2" t="s">
        <v>121</v>
      </c>
      <c r="G285" s="3">
        <v>110000</v>
      </c>
      <c r="H285" s="2" t="s">
        <v>19</v>
      </c>
      <c r="I285" s="2" t="s">
        <v>585</v>
      </c>
      <c r="J285" s="2">
        <v>9</v>
      </c>
      <c r="K285" s="2" t="s">
        <v>27</v>
      </c>
      <c r="L285" s="2" t="s">
        <v>46</v>
      </c>
      <c r="M285" s="2">
        <v>7</v>
      </c>
    </row>
    <row r="286" spans="1:13" x14ac:dyDescent="0.3">
      <c r="A286" s="4">
        <v>284</v>
      </c>
      <c r="B286" s="4" t="s">
        <v>608</v>
      </c>
      <c r="C286" s="4" t="s">
        <v>609</v>
      </c>
      <c r="D286" s="4" t="s">
        <v>101</v>
      </c>
      <c r="E286" s="4" t="s">
        <v>50</v>
      </c>
      <c r="F286" s="4" t="s">
        <v>147</v>
      </c>
      <c r="G286" s="5">
        <v>108000</v>
      </c>
      <c r="H286" s="4" t="s">
        <v>19</v>
      </c>
      <c r="I286" s="4" t="s">
        <v>585</v>
      </c>
      <c r="J286" s="4">
        <v>7</v>
      </c>
      <c r="K286" s="4" t="s">
        <v>27</v>
      </c>
      <c r="L286" s="4" t="s">
        <v>22</v>
      </c>
      <c r="M286" s="4">
        <v>2</v>
      </c>
    </row>
    <row r="287" spans="1:13" x14ac:dyDescent="0.3">
      <c r="A287" s="2">
        <v>285</v>
      </c>
      <c r="B287" s="2" t="s">
        <v>610</v>
      </c>
      <c r="C287" s="2" t="s">
        <v>24</v>
      </c>
      <c r="D287" s="2" t="s">
        <v>16</v>
      </c>
      <c r="E287" s="2" t="s">
        <v>25</v>
      </c>
      <c r="F287" s="2" t="s">
        <v>74</v>
      </c>
      <c r="G287" s="3">
        <v>98000</v>
      </c>
      <c r="H287" s="2" t="s">
        <v>36</v>
      </c>
      <c r="I287" s="2" t="s">
        <v>585</v>
      </c>
      <c r="J287" s="2">
        <v>5</v>
      </c>
      <c r="K287" s="2" t="s">
        <v>21</v>
      </c>
      <c r="L287" s="2" t="s">
        <v>22</v>
      </c>
      <c r="M287" s="2">
        <v>10</v>
      </c>
    </row>
    <row r="288" spans="1:13" x14ac:dyDescent="0.3">
      <c r="A288" s="4">
        <v>286</v>
      </c>
      <c r="B288" s="4" t="s">
        <v>611</v>
      </c>
      <c r="C288" s="4" t="s">
        <v>612</v>
      </c>
      <c r="D288" s="4" t="s">
        <v>30</v>
      </c>
      <c r="E288" s="4" t="s">
        <v>73</v>
      </c>
      <c r="F288" s="4" t="s">
        <v>31</v>
      </c>
      <c r="G288" s="5">
        <v>20000</v>
      </c>
      <c r="H288" s="4" t="s">
        <v>36</v>
      </c>
      <c r="I288" s="4" t="s">
        <v>585</v>
      </c>
      <c r="J288" s="4">
        <v>11</v>
      </c>
      <c r="K288" s="4" t="s">
        <v>27</v>
      </c>
      <c r="L288" s="4" t="s">
        <v>22</v>
      </c>
      <c r="M288" s="4">
        <v>1</v>
      </c>
    </row>
    <row r="289" spans="1:13" x14ac:dyDescent="0.3">
      <c r="A289" s="2">
        <v>287</v>
      </c>
      <c r="B289" s="2" t="s">
        <v>613</v>
      </c>
      <c r="C289" s="2" t="s">
        <v>614</v>
      </c>
      <c r="D289" s="2" t="s">
        <v>90</v>
      </c>
      <c r="E289" s="2" t="s">
        <v>50</v>
      </c>
      <c r="F289" s="2" t="s">
        <v>91</v>
      </c>
      <c r="G289" s="3">
        <v>42000</v>
      </c>
      <c r="H289" s="2" t="s">
        <v>26</v>
      </c>
      <c r="I289" s="2" t="s">
        <v>585</v>
      </c>
      <c r="J289" s="2">
        <v>5</v>
      </c>
      <c r="K289" s="2" t="s">
        <v>21</v>
      </c>
      <c r="L289" s="2" t="s">
        <v>22</v>
      </c>
      <c r="M289" s="2">
        <v>7</v>
      </c>
    </row>
    <row r="290" spans="1:13" x14ac:dyDescent="0.3">
      <c r="A290" s="4">
        <v>288</v>
      </c>
      <c r="B290" s="4" t="s">
        <v>615</v>
      </c>
      <c r="C290" s="4" t="s">
        <v>616</v>
      </c>
      <c r="D290" s="4" t="s">
        <v>49</v>
      </c>
      <c r="E290" s="4" t="s">
        <v>45</v>
      </c>
      <c r="F290" s="4" t="s">
        <v>108</v>
      </c>
      <c r="G290" s="5">
        <v>51000</v>
      </c>
      <c r="H290" s="4" t="s">
        <v>19</v>
      </c>
      <c r="I290" s="4" t="s">
        <v>585</v>
      </c>
      <c r="J290" s="4">
        <v>7</v>
      </c>
      <c r="K290" s="4" t="s">
        <v>21</v>
      </c>
      <c r="L290" s="4" t="s">
        <v>22</v>
      </c>
      <c r="M290" s="4">
        <v>0</v>
      </c>
    </row>
    <row r="291" spans="1:13" x14ac:dyDescent="0.3">
      <c r="A291" s="2">
        <v>289</v>
      </c>
      <c r="B291" s="2" t="s">
        <v>617</v>
      </c>
      <c r="C291" s="2" t="s">
        <v>618</v>
      </c>
      <c r="D291" s="2" t="s">
        <v>16</v>
      </c>
      <c r="E291" s="2" t="s">
        <v>45</v>
      </c>
      <c r="F291" s="2" t="s">
        <v>42</v>
      </c>
      <c r="G291" s="3">
        <v>28000</v>
      </c>
      <c r="H291" s="2" t="s">
        <v>32</v>
      </c>
      <c r="I291" s="2" t="s">
        <v>585</v>
      </c>
      <c r="J291" s="2">
        <v>3</v>
      </c>
      <c r="K291" s="2" t="s">
        <v>27</v>
      </c>
      <c r="L291" s="2" t="s">
        <v>22</v>
      </c>
      <c r="M291" s="2">
        <v>7</v>
      </c>
    </row>
    <row r="292" spans="1:13" x14ac:dyDescent="0.3">
      <c r="A292" s="4">
        <v>290</v>
      </c>
      <c r="B292" s="4" t="s">
        <v>619</v>
      </c>
      <c r="C292" s="4" t="s">
        <v>155</v>
      </c>
      <c r="D292" s="4" t="s">
        <v>90</v>
      </c>
      <c r="E292" s="4" t="s">
        <v>60</v>
      </c>
      <c r="F292" s="4" t="s">
        <v>91</v>
      </c>
      <c r="G292" s="5">
        <v>18000</v>
      </c>
      <c r="H292" s="4" t="s">
        <v>32</v>
      </c>
      <c r="I292" s="4" t="s">
        <v>585</v>
      </c>
      <c r="J292" s="4">
        <v>15</v>
      </c>
      <c r="K292" s="4" t="s">
        <v>27</v>
      </c>
      <c r="L292" s="4" t="s">
        <v>22</v>
      </c>
      <c r="M292" s="4">
        <v>9</v>
      </c>
    </row>
    <row r="293" spans="1:13" x14ac:dyDescent="0.3">
      <c r="A293" s="2">
        <v>291</v>
      </c>
      <c r="B293" s="2" t="s">
        <v>620</v>
      </c>
      <c r="C293" s="2" t="s">
        <v>580</v>
      </c>
      <c r="D293" s="2" t="s">
        <v>66</v>
      </c>
      <c r="E293" s="2" t="s">
        <v>39</v>
      </c>
      <c r="F293" s="2" t="s">
        <v>67</v>
      </c>
      <c r="G293" s="3">
        <v>56000</v>
      </c>
      <c r="H293" s="2" t="s">
        <v>19</v>
      </c>
      <c r="I293" s="2" t="s">
        <v>585</v>
      </c>
      <c r="J293" s="2">
        <v>7</v>
      </c>
      <c r="K293" s="2" t="s">
        <v>21</v>
      </c>
      <c r="L293" s="2" t="s">
        <v>22</v>
      </c>
      <c r="M293" s="2">
        <v>3</v>
      </c>
    </row>
    <row r="294" spans="1:13" x14ac:dyDescent="0.3">
      <c r="A294" s="4">
        <v>292</v>
      </c>
      <c r="B294" s="4" t="s">
        <v>621</v>
      </c>
      <c r="C294" s="4" t="s">
        <v>622</v>
      </c>
      <c r="D294" s="4" t="s">
        <v>54</v>
      </c>
      <c r="E294" s="4" t="s">
        <v>73</v>
      </c>
      <c r="F294" s="4" t="s">
        <v>158</v>
      </c>
      <c r="G294" s="5">
        <v>64000</v>
      </c>
      <c r="H294" s="4" t="s">
        <v>26</v>
      </c>
      <c r="I294" s="4" t="s">
        <v>585</v>
      </c>
      <c r="J294" s="4">
        <v>17</v>
      </c>
      <c r="K294" s="4" t="s">
        <v>21</v>
      </c>
      <c r="L294" s="4" t="s">
        <v>22</v>
      </c>
      <c r="M294" s="4">
        <v>0</v>
      </c>
    </row>
    <row r="295" spans="1:13" x14ac:dyDescent="0.3">
      <c r="A295" s="2">
        <v>293</v>
      </c>
      <c r="B295" s="2" t="s">
        <v>623</v>
      </c>
      <c r="C295" s="2" t="s">
        <v>624</v>
      </c>
      <c r="D295" s="2" t="s">
        <v>101</v>
      </c>
      <c r="E295" s="2" t="s">
        <v>55</v>
      </c>
      <c r="F295" s="2" t="s">
        <v>102</v>
      </c>
      <c r="G295" s="3">
        <v>118000</v>
      </c>
      <c r="H295" s="2" t="s">
        <v>26</v>
      </c>
      <c r="I295" s="2" t="s">
        <v>585</v>
      </c>
      <c r="J295" s="2">
        <v>6</v>
      </c>
      <c r="K295" s="2" t="s">
        <v>27</v>
      </c>
      <c r="L295" s="2" t="s">
        <v>22</v>
      </c>
      <c r="M295" s="2">
        <v>6</v>
      </c>
    </row>
    <row r="296" spans="1:13" x14ac:dyDescent="0.3">
      <c r="A296" s="4">
        <v>294</v>
      </c>
      <c r="B296" s="4" t="s">
        <v>625</v>
      </c>
      <c r="C296" s="4" t="s">
        <v>626</v>
      </c>
      <c r="D296" s="4" t="s">
        <v>90</v>
      </c>
      <c r="E296" s="4" t="s">
        <v>73</v>
      </c>
      <c r="F296" s="4" t="s">
        <v>91</v>
      </c>
      <c r="G296" s="5">
        <v>32000</v>
      </c>
      <c r="H296" s="4" t="s">
        <v>26</v>
      </c>
      <c r="I296" s="4" t="s">
        <v>585</v>
      </c>
      <c r="J296" s="4">
        <v>9</v>
      </c>
      <c r="K296" s="4" t="s">
        <v>21</v>
      </c>
      <c r="L296" s="4" t="s">
        <v>22</v>
      </c>
      <c r="M296" s="4">
        <v>2</v>
      </c>
    </row>
    <row r="297" spans="1:13" x14ac:dyDescent="0.3">
      <c r="A297" s="2">
        <v>295</v>
      </c>
      <c r="B297" s="2" t="s">
        <v>627</v>
      </c>
      <c r="C297" s="2" t="s">
        <v>628</v>
      </c>
      <c r="D297" s="2" t="s">
        <v>101</v>
      </c>
      <c r="E297" s="2" t="s">
        <v>17</v>
      </c>
      <c r="F297" s="2" t="s">
        <v>102</v>
      </c>
      <c r="G297" s="3">
        <v>111000</v>
      </c>
      <c r="H297" s="2" t="s">
        <v>19</v>
      </c>
      <c r="I297" s="2" t="s">
        <v>585</v>
      </c>
      <c r="J297" s="2">
        <v>4</v>
      </c>
      <c r="K297" s="2" t="s">
        <v>21</v>
      </c>
      <c r="L297" s="2" t="s">
        <v>22</v>
      </c>
      <c r="M297" s="2">
        <v>3</v>
      </c>
    </row>
    <row r="298" spans="1:13" x14ac:dyDescent="0.3">
      <c r="A298" s="4">
        <v>296</v>
      </c>
      <c r="B298" s="4" t="s">
        <v>629</v>
      </c>
      <c r="C298" s="4" t="s">
        <v>630</v>
      </c>
      <c r="D298" s="4" t="s">
        <v>66</v>
      </c>
      <c r="E298" s="4" t="s">
        <v>39</v>
      </c>
      <c r="F298" s="4" t="s">
        <v>153</v>
      </c>
      <c r="G298" s="5">
        <v>44000</v>
      </c>
      <c r="H298" s="4" t="s">
        <v>32</v>
      </c>
      <c r="I298" s="4" t="s">
        <v>585</v>
      </c>
      <c r="J298" s="4">
        <v>10</v>
      </c>
      <c r="K298" s="4" t="s">
        <v>27</v>
      </c>
      <c r="L298" s="4" t="s">
        <v>22</v>
      </c>
      <c r="M298" s="4">
        <v>1</v>
      </c>
    </row>
    <row r="299" spans="1:13" x14ac:dyDescent="0.3">
      <c r="A299" s="2">
        <v>297</v>
      </c>
      <c r="B299" s="2" t="s">
        <v>631</v>
      </c>
      <c r="C299" s="2" t="s">
        <v>632</v>
      </c>
      <c r="D299" s="2" t="s">
        <v>90</v>
      </c>
      <c r="E299" s="2" t="s">
        <v>73</v>
      </c>
      <c r="F299" s="2" t="s">
        <v>91</v>
      </c>
      <c r="G299" s="3">
        <v>31000</v>
      </c>
      <c r="H299" s="2" t="s">
        <v>32</v>
      </c>
      <c r="I299" s="2" t="s">
        <v>585</v>
      </c>
      <c r="J299" s="2">
        <v>10</v>
      </c>
      <c r="K299" s="2" t="s">
        <v>21</v>
      </c>
      <c r="L299" s="2" t="s">
        <v>22</v>
      </c>
      <c r="M299" s="2">
        <v>7</v>
      </c>
    </row>
    <row r="300" spans="1:13" x14ac:dyDescent="0.3">
      <c r="A300" s="4">
        <v>298</v>
      </c>
      <c r="B300" s="4" t="s">
        <v>633</v>
      </c>
      <c r="C300" s="4" t="s">
        <v>325</v>
      </c>
      <c r="D300" s="4" t="s">
        <v>16</v>
      </c>
      <c r="E300" s="4" t="s">
        <v>50</v>
      </c>
      <c r="F300" s="4" t="s">
        <v>74</v>
      </c>
      <c r="G300" s="5">
        <v>90000</v>
      </c>
      <c r="H300" s="4" t="s">
        <v>19</v>
      </c>
      <c r="I300" s="4" t="s">
        <v>585</v>
      </c>
      <c r="J300" s="4">
        <v>11</v>
      </c>
      <c r="K300" s="4" t="s">
        <v>21</v>
      </c>
      <c r="L300" s="4" t="s">
        <v>22</v>
      </c>
      <c r="M300" s="4">
        <v>10</v>
      </c>
    </row>
    <row r="301" spans="1:13" x14ac:dyDescent="0.3">
      <c r="A301" s="2">
        <v>299</v>
      </c>
      <c r="B301" s="2" t="s">
        <v>634</v>
      </c>
      <c r="C301" s="2" t="s">
        <v>253</v>
      </c>
      <c r="D301" s="2" t="s">
        <v>90</v>
      </c>
      <c r="E301" s="2" t="s">
        <v>73</v>
      </c>
      <c r="F301" s="2" t="s">
        <v>98</v>
      </c>
      <c r="G301" s="3">
        <v>28000</v>
      </c>
      <c r="H301" s="2" t="s">
        <v>19</v>
      </c>
      <c r="I301" s="2" t="s">
        <v>585</v>
      </c>
      <c r="J301" s="2">
        <v>8</v>
      </c>
      <c r="K301" s="2" t="s">
        <v>27</v>
      </c>
      <c r="L301" s="2" t="s">
        <v>57</v>
      </c>
      <c r="M301" s="2">
        <v>11</v>
      </c>
    </row>
    <row r="302" spans="1:13" x14ac:dyDescent="0.3">
      <c r="A302" s="4">
        <v>300</v>
      </c>
      <c r="B302" s="4" t="s">
        <v>635</v>
      </c>
      <c r="C302" s="4" t="s">
        <v>210</v>
      </c>
      <c r="D302" s="4" t="s">
        <v>66</v>
      </c>
      <c r="E302" s="4" t="s">
        <v>17</v>
      </c>
      <c r="F302" s="4" t="s">
        <v>121</v>
      </c>
      <c r="G302" s="5">
        <v>71000</v>
      </c>
      <c r="H302" s="4" t="s">
        <v>36</v>
      </c>
      <c r="I302" s="4" t="s">
        <v>585</v>
      </c>
      <c r="J302" s="4">
        <v>11</v>
      </c>
      <c r="K302" s="4" t="s">
        <v>21</v>
      </c>
      <c r="L302" s="4" t="s">
        <v>22</v>
      </c>
      <c r="M302" s="4">
        <v>5</v>
      </c>
    </row>
    <row r="303" spans="1:13" x14ac:dyDescent="0.3">
      <c r="A303" s="2">
        <v>301</v>
      </c>
      <c r="B303" s="2" t="s">
        <v>636</v>
      </c>
      <c r="C303" s="2" t="s">
        <v>637</v>
      </c>
      <c r="D303" s="2" t="s">
        <v>30</v>
      </c>
      <c r="E303" s="2" t="s">
        <v>73</v>
      </c>
      <c r="F303" s="2" t="s">
        <v>77</v>
      </c>
      <c r="G303" s="3">
        <v>66000</v>
      </c>
      <c r="H303" s="2" t="s">
        <v>32</v>
      </c>
      <c r="I303" s="2" t="s">
        <v>585</v>
      </c>
      <c r="J303" s="2">
        <v>0</v>
      </c>
      <c r="K303" s="2" t="s">
        <v>21</v>
      </c>
      <c r="L303" s="2" t="s">
        <v>22</v>
      </c>
      <c r="M303" s="2">
        <v>8</v>
      </c>
    </row>
    <row r="304" spans="1:13" x14ac:dyDescent="0.3">
      <c r="A304" s="4">
        <v>302</v>
      </c>
      <c r="B304" s="4" t="s">
        <v>638</v>
      </c>
      <c r="C304" s="4" t="s">
        <v>639</v>
      </c>
      <c r="D304" s="4" t="s">
        <v>90</v>
      </c>
      <c r="E304" s="4" t="s">
        <v>39</v>
      </c>
      <c r="F304" s="4" t="s">
        <v>105</v>
      </c>
      <c r="G304" s="5">
        <v>60000</v>
      </c>
      <c r="H304" s="4" t="s">
        <v>19</v>
      </c>
      <c r="I304" s="4" t="s">
        <v>585</v>
      </c>
      <c r="J304" s="4">
        <v>17</v>
      </c>
      <c r="K304" s="4" t="s">
        <v>27</v>
      </c>
      <c r="L304" s="4" t="s">
        <v>22</v>
      </c>
      <c r="M304" s="4">
        <v>7</v>
      </c>
    </row>
    <row r="305" spans="1:13" x14ac:dyDescent="0.3">
      <c r="A305" s="2">
        <v>303</v>
      </c>
      <c r="B305" s="2" t="s">
        <v>640</v>
      </c>
      <c r="C305" s="2" t="s">
        <v>641</v>
      </c>
      <c r="D305" s="2" t="s">
        <v>49</v>
      </c>
      <c r="E305" s="2" t="s">
        <v>73</v>
      </c>
      <c r="F305" s="2" t="s">
        <v>51</v>
      </c>
      <c r="G305" s="3">
        <v>41000</v>
      </c>
      <c r="H305" s="2" t="s">
        <v>32</v>
      </c>
      <c r="I305" s="2" t="s">
        <v>585</v>
      </c>
      <c r="J305" s="2">
        <v>16</v>
      </c>
      <c r="K305" s="2" t="s">
        <v>27</v>
      </c>
      <c r="L305" s="2" t="s">
        <v>22</v>
      </c>
      <c r="M305" s="2">
        <v>7</v>
      </c>
    </row>
    <row r="306" spans="1:13" x14ac:dyDescent="0.3">
      <c r="A306" s="4">
        <v>304</v>
      </c>
      <c r="B306" s="4" t="s">
        <v>642</v>
      </c>
      <c r="C306" s="4" t="s">
        <v>643</v>
      </c>
      <c r="D306" s="4" t="s">
        <v>16</v>
      </c>
      <c r="E306" s="4" t="s">
        <v>55</v>
      </c>
      <c r="F306" s="4" t="s">
        <v>74</v>
      </c>
      <c r="G306" s="5">
        <v>38000</v>
      </c>
      <c r="H306" s="4" t="s">
        <v>32</v>
      </c>
      <c r="I306" s="4" t="s">
        <v>585</v>
      </c>
      <c r="J306" s="4">
        <v>6</v>
      </c>
      <c r="K306" s="4" t="s">
        <v>27</v>
      </c>
      <c r="L306" s="4" t="s">
        <v>22</v>
      </c>
      <c r="M306" s="4">
        <v>12</v>
      </c>
    </row>
    <row r="307" spans="1:13" x14ac:dyDescent="0.3">
      <c r="A307" s="2">
        <v>305</v>
      </c>
      <c r="B307" s="2" t="s">
        <v>644</v>
      </c>
      <c r="C307" s="2" t="s">
        <v>537</v>
      </c>
      <c r="D307" s="2" t="s">
        <v>59</v>
      </c>
      <c r="E307" s="2" t="s">
        <v>17</v>
      </c>
      <c r="F307" s="2" t="s">
        <v>319</v>
      </c>
      <c r="G307" s="3">
        <v>78000</v>
      </c>
      <c r="H307" s="2" t="s">
        <v>36</v>
      </c>
      <c r="I307" s="2" t="s">
        <v>585</v>
      </c>
      <c r="J307" s="2">
        <v>12</v>
      </c>
      <c r="K307" s="2" t="s">
        <v>21</v>
      </c>
      <c r="L307" s="2" t="s">
        <v>57</v>
      </c>
      <c r="M307" s="2">
        <v>7</v>
      </c>
    </row>
    <row r="308" spans="1:13" x14ac:dyDescent="0.3">
      <c r="A308" s="4">
        <v>306</v>
      </c>
      <c r="B308" s="4" t="s">
        <v>645</v>
      </c>
      <c r="C308" s="4" t="s">
        <v>630</v>
      </c>
      <c r="D308" s="4" t="s">
        <v>49</v>
      </c>
      <c r="E308" s="4" t="s">
        <v>73</v>
      </c>
      <c r="F308" s="4" t="s">
        <v>70</v>
      </c>
      <c r="G308" s="5">
        <v>54000</v>
      </c>
      <c r="H308" s="4" t="s">
        <v>32</v>
      </c>
      <c r="I308" s="4" t="s">
        <v>585</v>
      </c>
      <c r="J308" s="4">
        <v>14</v>
      </c>
      <c r="K308" s="4" t="s">
        <v>21</v>
      </c>
      <c r="L308" s="4" t="s">
        <v>22</v>
      </c>
      <c r="M308" s="4">
        <v>0</v>
      </c>
    </row>
    <row r="309" spans="1:13" x14ac:dyDescent="0.3">
      <c r="A309" s="2">
        <v>307</v>
      </c>
      <c r="B309" s="2" t="s">
        <v>646</v>
      </c>
      <c r="C309" s="2" t="s">
        <v>409</v>
      </c>
      <c r="D309" s="2" t="s">
        <v>49</v>
      </c>
      <c r="E309" s="2" t="s">
        <v>73</v>
      </c>
      <c r="F309" s="2" t="s">
        <v>70</v>
      </c>
      <c r="G309" s="3">
        <v>55000</v>
      </c>
      <c r="H309" s="2" t="s">
        <v>36</v>
      </c>
      <c r="I309" s="2" t="s">
        <v>585</v>
      </c>
      <c r="J309" s="2">
        <v>8</v>
      </c>
      <c r="K309" s="2" t="s">
        <v>21</v>
      </c>
      <c r="L309" s="2" t="s">
        <v>22</v>
      </c>
      <c r="M309" s="2">
        <v>10</v>
      </c>
    </row>
    <row r="310" spans="1:13" x14ac:dyDescent="0.3">
      <c r="A310" s="4">
        <v>308</v>
      </c>
      <c r="B310" s="4" t="s">
        <v>647</v>
      </c>
      <c r="C310" s="4" t="s">
        <v>648</v>
      </c>
      <c r="D310" s="4" t="s">
        <v>59</v>
      </c>
      <c r="E310" s="4" t="s">
        <v>17</v>
      </c>
      <c r="F310" s="4" t="s">
        <v>85</v>
      </c>
      <c r="G310" s="5">
        <v>77000</v>
      </c>
      <c r="H310" s="4" t="s">
        <v>32</v>
      </c>
      <c r="I310" s="4" t="s">
        <v>585</v>
      </c>
      <c r="J310" s="4">
        <v>8</v>
      </c>
      <c r="K310" s="4" t="s">
        <v>27</v>
      </c>
      <c r="L310" s="4" t="s">
        <v>22</v>
      </c>
      <c r="M310" s="4">
        <v>0</v>
      </c>
    </row>
    <row r="311" spans="1:13" x14ac:dyDescent="0.3">
      <c r="A311" s="2">
        <v>309</v>
      </c>
      <c r="B311" s="2" t="s">
        <v>649</v>
      </c>
      <c r="C311" s="2" t="s">
        <v>650</v>
      </c>
      <c r="D311" s="2" t="s">
        <v>30</v>
      </c>
      <c r="E311" s="2" t="s">
        <v>17</v>
      </c>
      <c r="F311" s="2" t="s">
        <v>118</v>
      </c>
      <c r="G311" s="3">
        <v>47000</v>
      </c>
      <c r="H311" s="2" t="s">
        <v>32</v>
      </c>
      <c r="I311" s="2" t="s">
        <v>585</v>
      </c>
      <c r="J311" s="2">
        <v>0</v>
      </c>
      <c r="K311" s="2" t="s">
        <v>27</v>
      </c>
      <c r="L311" s="2" t="s">
        <v>22</v>
      </c>
      <c r="M311" s="2">
        <v>1</v>
      </c>
    </row>
    <row r="312" spans="1:13" x14ac:dyDescent="0.3">
      <c r="A312" s="4">
        <v>310</v>
      </c>
      <c r="B312" s="4" t="s">
        <v>651</v>
      </c>
      <c r="C312" s="4" t="s">
        <v>652</v>
      </c>
      <c r="D312" s="4" t="s">
        <v>54</v>
      </c>
      <c r="E312" s="4" t="s">
        <v>25</v>
      </c>
      <c r="F312" s="4" t="s">
        <v>158</v>
      </c>
      <c r="G312" s="5">
        <v>51000</v>
      </c>
      <c r="H312" s="4" t="s">
        <v>32</v>
      </c>
      <c r="I312" s="4" t="s">
        <v>585</v>
      </c>
      <c r="J312" s="4">
        <v>4</v>
      </c>
      <c r="K312" s="4" t="s">
        <v>21</v>
      </c>
      <c r="L312" s="4" t="s">
        <v>22</v>
      </c>
      <c r="M312" s="4">
        <v>3</v>
      </c>
    </row>
    <row r="313" spans="1:13" x14ac:dyDescent="0.3">
      <c r="A313" s="2">
        <v>311</v>
      </c>
      <c r="B313" s="2" t="s">
        <v>653</v>
      </c>
      <c r="C313" s="2" t="s">
        <v>477</v>
      </c>
      <c r="D313" s="2" t="s">
        <v>90</v>
      </c>
      <c r="E313" s="2" t="s">
        <v>60</v>
      </c>
      <c r="F313" s="2" t="s">
        <v>98</v>
      </c>
      <c r="G313" s="3">
        <v>21000</v>
      </c>
      <c r="H313" s="2" t="s">
        <v>26</v>
      </c>
      <c r="I313" s="2" t="s">
        <v>585</v>
      </c>
      <c r="J313" s="2">
        <v>7</v>
      </c>
      <c r="K313" s="2" t="s">
        <v>27</v>
      </c>
      <c r="L313" s="2" t="s">
        <v>46</v>
      </c>
      <c r="M313" s="2">
        <v>6</v>
      </c>
    </row>
    <row r="314" spans="1:13" x14ac:dyDescent="0.3">
      <c r="A314" s="4">
        <v>312</v>
      </c>
      <c r="B314" s="4" t="s">
        <v>654</v>
      </c>
      <c r="C314" s="4" t="s">
        <v>655</v>
      </c>
      <c r="D314" s="4" t="s">
        <v>66</v>
      </c>
      <c r="E314" s="4" t="s">
        <v>73</v>
      </c>
      <c r="F314" s="4" t="s">
        <v>67</v>
      </c>
      <c r="G314" s="5">
        <v>61000</v>
      </c>
      <c r="H314" s="4" t="s">
        <v>19</v>
      </c>
      <c r="I314" s="4" t="s">
        <v>585</v>
      </c>
      <c r="J314" s="4">
        <v>15</v>
      </c>
      <c r="K314" s="4" t="s">
        <v>21</v>
      </c>
      <c r="L314" s="4" t="s">
        <v>46</v>
      </c>
      <c r="M314" s="4">
        <v>11</v>
      </c>
    </row>
    <row r="315" spans="1:13" x14ac:dyDescent="0.3">
      <c r="A315" s="2">
        <v>313</v>
      </c>
      <c r="B315" s="2" t="s">
        <v>656</v>
      </c>
      <c r="C315" s="2" t="s">
        <v>657</v>
      </c>
      <c r="D315" s="2" t="s">
        <v>66</v>
      </c>
      <c r="E315" s="2" t="s">
        <v>73</v>
      </c>
      <c r="F315" s="2" t="s">
        <v>67</v>
      </c>
      <c r="G315" s="3">
        <v>47000</v>
      </c>
      <c r="H315" s="2" t="s">
        <v>161</v>
      </c>
      <c r="I315" s="2" t="s">
        <v>585</v>
      </c>
      <c r="J315" s="2">
        <v>11</v>
      </c>
      <c r="K315" s="2" t="s">
        <v>27</v>
      </c>
      <c r="L315" s="2" t="s">
        <v>57</v>
      </c>
      <c r="M315" s="2">
        <v>8</v>
      </c>
    </row>
    <row r="316" spans="1:13" x14ac:dyDescent="0.3">
      <c r="A316" s="4">
        <v>314</v>
      </c>
      <c r="B316" s="4" t="s">
        <v>658</v>
      </c>
      <c r="C316" s="4" t="s">
        <v>659</v>
      </c>
      <c r="D316" s="4" t="s">
        <v>49</v>
      </c>
      <c r="E316" s="4" t="s">
        <v>25</v>
      </c>
      <c r="F316" s="4" t="s">
        <v>51</v>
      </c>
      <c r="G316" s="5">
        <v>33000</v>
      </c>
      <c r="H316" s="4" t="s">
        <v>32</v>
      </c>
      <c r="I316" s="4" t="s">
        <v>585</v>
      </c>
      <c r="J316" s="4">
        <v>4</v>
      </c>
      <c r="K316" s="4" t="s">
        <v>27</v>
      </c>
      <c r="L316" s="4" t="s">
        <v>22</v>
      </c>
      <c r="M316" s="4">
        <v>7</v>
      </c>
    </row>
    <row r="317" spans="1:13" x14ac:dyDescent="0.3">
      <c r="A317" s="2">
        <v>315</v>
      </c>
      <c r="B317" s="2" t="s">
        <v>660</v>
      </c>
      <c r="C317" s="2" t="s">
        <v>661</v>
      </c>
      <c r="D317" s="2" t="s">
        <v>49</v>
      </c>
      <c r="E317" s="2" t="s">
        <v>25</v>
      </c>
      <c r="F317" s="2" t="s">
        <v>70</v>
      </c>
      <c r="G317" s="3">
        <v>43000</v>
      </c>
      <c r="H317" s="2" t="s">
        <v>36</v>
      </c>
      <c r="I317" s="2" t="s">
        <v>585</v>
      </c>
      <c r="J317" s="2">
        <v>10</v>
      </c>
      <c r="K317" s="2" t="s">
        <v>27</v>
      </c>
      <c r="L317" s="2" t="s">
        <v>22</v>
      </c>
      <c r="M317" s="2">
        <v>0</v>
      </c>
    </row>
    <row r="318" spans="1:13" x14ac:dyDescent="0.3">
      <c r="A318" s="4">
        <v>316</v>
      </c>
      <c r="B318" s="4" t="s">
        <v>662</v>
      </c>
      <c r="C318" s="4" t="s">
        <v>477</v>
      </c>
      <c r="D318" s="4" t="s">
        <v>59</v>
      </c>
      <c r="E318" s="4" t="s">
        <v>45</v>
      </c>
      <c r="F318" s="4" t="s">
        <v>80</v>
      </c>
      <c r="G318" s="5">
        <v>28000</v>
      </c>
      <c r="H318" s="4" t="s">
        <v>19</v>
      </c>
      <c r="I318" s="4" t="s">
        <v>585</v>
      </c>
      <c r="J318" s="4">
        <v>0</v>
      </c>
      <c r="K318" s="4" t="s">
        <v>21</v>
      </c>
      <c r="L318" s="4" t="s">
        <v>46</v>
      </c>
      <c r="M318" s="4">
        <v>11</v>
      </c>
    </row>
    <row r="319" spans="1:13" x14ac:dyDescent="0.3">
      <c r="A319" s="2">
        <v>317</v>
      </c>
      <c r="B319" s="2" t="s">
        <v>663</v>
      </c>
      <c r="C319" s="2" t="s">
        <v>664</v>
      </c>
      <c r="D319" s="2" t="s">
        <v>101</v>
      </c>
      <c r="E319" s="2" t="s">
        <v>55</v>
      </c>
      <c r="F319" s="2" t="s">
        <v>126</v>
      </c>
      <c r="G319" s="3">
        <v>137000</v>
      </c>
      <c r="H319" s="2" t="s">
        <v>36</v>
      </c>
      <c r="I319" s="2" t="s">
        <v>585</v>
      </c>
      <c r="J319" s="2">
        <v>2</v>
      </c>
      <c r="K319" s="2" t="s">
        <v>21</v>
      </c>
      <c r="L319" s="2" t="s">
        <v>22</v>
      </c>
      <c r="M319" s="2">
        <v>2</v>
      </c>
    </row>
    <row r="320" spans="1:13" x14ac:dyDescent="0.3">
      <c r="A320" s="4">
        <v>318</v>
      </c>
      <c r="B320" s="4" t="s">
        <v>665</v>
      </c>
      <c r="C320" s="4" t="s">
        <v>666</v>
      </c>
      <c r="D320" s="4" t="s">
        <v>101</v>
      </c>
      <c r="E320" s="4" t="s">
        <v>45</v>
      </c>
      <c r="F320" s="4" t="s">
        <v>147</v>
      </c>
      <c r="G320" s="5">
        <v>122000</v>
      </c>
      <c r="H320" s="4" t="s">
        <v>19</v>
      </c>
      <c r="I320" s="4" t="s">
        <v>585</v>
      </c>
      <c r="J320" s="4">
        <v>1</v>
      </c>
      <c r="K320" s="4" t="s">
        <v>21</v>
      </c>
      <c r="L320" s="4" t="s">
        <v>57</v>
      </c>
      <c r="M320" s="4">
        <v>7</v>
      </c>
    </row>
    <row r="321" spans="1:13" x14ac:dyDescent="0.3">
      <c r="A321" s="2">
        <v>319</v>
      </c>
      <c r="B321" s="2" t="s">
        <v>667</v>
      </c>
      <c r="C321" s="2" t="s">
        <v>193</v>
      </c>
      <c r="D321" s="2" t="s">
        <v>49</v>
      </c>
      <c r="E321" s="2" t="s">
        <v>17</v>
      </c>
      <c r="F321" s="2" t="s">
        <v>189</v>
      </c>
      <c r="G321" s="3">
        <v>21000</v>
      </c>
      <c r="H321" s="2" t="s">
        <v>36</v>
      </c>
      <c r="I321" s="2" t="s">
        <v>668</v>
      </c>
      <c r="J321" s="2">
        <v>9</v>
      </c>
      <c r="K321" s="2" t="s">
        <v>27</v>
      </c>
      <c r="L321" s="2" t="s">
        <v>22</v>
      </c>
      <c r="M321" s="2">
        <v>7</v>
      </c>
    </row>
    <row r="322" spans="1:13" x14ac:dyDescent="0.3">
      <c r="A322" s="4">
        <v>320</v>
      </c>
      <c r="B322" s="4" t="s">
        <v>669</v>
      </c>
      <c r="C322" s="4" t="s">
        <v>670</v>
      </c>
      <c r="D322" s="4" t="s">
        <v>54</v>
      </c>
      <c r="E322" s="4" t="s">
        <v>45</v>
      </c>
      <c r="F322" s="4" t="s">
        <v>56</v>
      </c>
      <c r="G322" s="5">
        <v>57000</v>
      </c>
      <c r="H322" s="4" t="s">
        <v>32</v>
      </c>
      <c r="I322" s="4" t="s">
        <v>668</v>
      </c>
      <c r="J322" s="4">
        <v>10</v>
      </c>
      <c r="K322" s="4" t="s">
        <v>21</v>
      </c>
      <c r="L322" s="4" t="s">
        <v>22</v>
      </c>
      <c r="M322" s="4">
        <v>10</v>
      </c>
    </row>
    <row r="323" spans="1:13" x14ac:dyDescent="0.3">
      <c r="A323" s="2">
        <v>321</v>
      </c>
      <c r="B323" s="2" t="s">
        <v>671</v>
      </c>
      <c r="C323" s="2" t="s">
        <v>24</v>
      </c>
      <c r="D323" s="2" t="s">
        <v>101</v>
      </c>
      <c r="E323" s="2" t="s">
        <v>50</v>
      </c>
      <c r="F323" s="2" t="s">
        <v>147</v>
      </c>
      <c r="G323" s="3">
        <v>35000</v>
      </c>
      <c r="H323" s="2" t="s">
        <v>32</v>
      </c>
      <c r="I323" s="2" t="s">
        <v>668</v>
      </c>
      <c r="J323" s="2">
        <v>2</v>
      </c>
      <c r="K323" s="2" t="s">
        <v>27</v>
      </c>
      <c r="L323" s="2" t="s">
        <v>22</v>
      </c>
      <c r="M323" s="2">
        <v>10</v>
      </c>
    </row>
    <row r="324" spans="1:13" x14ac:dyDescent="0.3">
      <c r="A324" s="4">
        <v>322</v>
      </c>
      <c r="B324" s="4" t="s">
        <v>672</v>
      </c>
      <c r="C324" s="4" t="s">
        <v>344</v>
      </c>
      <c r="D324" s="4" t="s">
        <v>54</v>
      </c>
      <c r="E324" s="4" t="s">
        <v>39</v>
      </c>
      <c r="F324" s="4" t="s">
        <v>158</v>
      </c>
      <c r="G324" s="5">
        <v>23000</v>
      </c>
      <c r="H324" s="4" t="s">
        <v>19</v>
      </c>
      <c r="I324" s="4" t="s">
        <v>668</v>
      </c>
      <c r="J324" s="4">
        <v>3</v>
      </c>
      <c r="K324" s="4" t="s">
        <v>27</v>
      </c>
      <c r="L324" s="4" t="s">
        <v>22</v>
      </c>
      <c r="M324" s="4">
        <v>3</v>
      </c>
    </row>
    <row r="325" spans="1:13" x14ac:dyDescent="0.3">
      <c r="A325" s="2">
        <v>323</v>
      </c>
      <c r="B325" s="2" t="s">
        <v>673</v>
      </c>
      <c r="C325" s="2" t="s">
        <v>674</v>
      </c>
      <c r="D325" s="2" t="s">
        <v>59</v>
      </c>
      <c r="E325" s="2" t="s">
        <v>39</v>
      </c>
      <c r="F325" s="2" t="s">
        <v>61</v>
      </c>
      <c r="G325" s="3">
        <v>90000</v>
      </c>
      <c r="H325" s="2" t="s">
        <v>36</v>
      </c>
      <c r="I325" s="2" t="s">
        <v>668</v>
      </c>
      <c r="J325" s="2">
        <v>4</v>
      </c>
      <c r="K325" s="2" t="s">
        <v>21</v>
      </c>
      <c r="L325" s="2" t="s">
        <v>22</v>
      </c>
      <c r="M325" s="2">
        <v>7</v>
      </c>
    </row>
    <row r="326" spans="1:13" x14ac:dyDescent="0.3">
      <c r="A326" s="4">
        <v>324</v>
      </c>
      <c r="B326" s="4" t="s">
        <v>675</v>
      </c>
      <c r="C326" s="4" t="s">
        <v>676</v>
      </c>
      <c r="D326" s="4" t="s">
        <v>49</v>
      </c>
      <c r="E326" s="4" t="s">
        <v>39</v>
      </c>
      <c r="F326" s="4" t="s">
        <v>51</v>
      </c>
      <c r="G326" s="5">
        <v>49000</v>
      </c>
      <c r="H326" s="4" t="s">
        <v>36</v>
      </c>
      <c r="I326" s="4" t="s">
        <v>668</v>
      </c>
      <c r="J326" s="4">
        <v>2</v>
      </c>
      <c r="K326" s="4" t="s">
        <v>27</v>
      </c>
      <c r="L326" s="4" t="s">
        <v>22</v>
      </c>
      <c r="M326" s="4">
        <v>2</v>
      </c>
    </row>
    <row r="327" spans="1:13" x14ac:dyDescent="0.3">
      <c r="A327" s="2">
        <v>325</v>
      </c>
      <c r="B327" s="2" t="s">
        <v>677</v>
      </c>
      <c r="C327" s="2" t="s">
        <v>678</v>
      </c>
      <c r="D327" s="2" t="s">
        <v>54</v>
      </c>
      <c r="E327" s="2" t="s">
        <v>60</v>
      </c>
      <c r="F327" s="2" t="s">
        <v>200</v>
      </c>
      <c r="G327" s="3">
        <v>51000</v>
      </c>
      <c r="H327" s="2" t="s">
        <v>19</v>
      </c>
      <c r="I327" s="2" t="s">
        <v>668</v>
      </c>
      <c r="J327" s="2">
        <v>1</v>
      </c>
      <c r="K327" s="2" t="s">
        <v>21</v>
      </c>
      <c r="L327" s="2" t="s">
        <v>22</v>
      </c>
      <c r="M327" s="2">
        <v>4</v>
      </c>
    </row>
    <row r="328" spans="1:13" x14ac:dyDescent="0.3">
      <c r="A328" s="4">
        <v>326</v>
      </c>
      <c r="B328" s="4" t="s">
        <v>679</v>
      </c>
      <c r="C328" s="4" t="s">
        <v>292</v>
      </c>
      <c r="D328" s="4" t="s">
        <v>49</v>
      </c>
      <c r="E328" s="4" t="s">
        <v>45</v>
      </c>
      <c r="F328" s="4" t="s">
        <v>51</v>
      </c>
      <c r="G328" s="5">
        <v>39000</v>
      </c>
      <c r="H328" s="4" t="s">
        <v>26</v>
      </c>
      <c r="I328" s="4" t="s">
        <v>668</v>
      </c>
      <c r="J328" s="4">
        <v>13</v>
      </c>
      <c r="K328" s="4" t="s">
        <v>21</v>
      </c>
      <c r="L328" s="4" t="s">
        <v>22</v>
      </c>
      <c r="M328" s="4">
        <v>12</v>
      </c>
    </row>
    <row r="329" spans="1:13" x14ac:dyDescent="0.3">
      <c r="A329" s="2">
        <v>327</v>
      </c>
      <c r="B329" s="2" t="s">
        <v>680</v>
      </c>
      <c r="C329" s="2" t="s">
        <v>681</v>
      </c>
      <c r="D329" s="2" t="s">
        <v>66</v>
      </c>
      <c r="E329" s="2" t="s">
        <v>17</v>
      </c>
      <c r="F329" s="2" t="s">
        <v>67</v>
      </c>
      <c r="G329" s="3">
        <v>55000</v>
      </c>
      <c r="H329" s="2" t="s">
        <v>36</v>
      </c>
      <c r="I329" s="2" t="s">
        <v>668</v>
      </c>
      <c r="J329" s="2">
        <v>8</v>
      </c>
      <c r="K329" s="2" t="s">
        <v>21</v>
      </c>
      <c r="L329" s="2" t="s">
        <v>22</v>
      </c>
      <c r="M329" s="2">
        <v>4</v>
      </c>
    </row>
    <row r="330" spans="1:13" x14ac:dyDescent="0.3">
      <c r="A330" s="4">
        <v>328</v>
      </c>
      <c r="B330" s="4" t="s">
        <v>682</v>
      </c>
      <c r="C330" s="4" t="s">
        <v>180</v>
      </c>
      <c r="D330" s="4" t="s">
        <v>49</v>
      </c>
      <c r="E330" s="4" t="s">
        <v>55</v>
      </c>
      <c r="F330" s="4" t="s">
        <v>189</v>
      </c>
      <c r="G330" s="5">
        <v>28000</v>
      </c>
      <c r="H330" s="4" t="s">
        <v>19</v>
      </c>
      <c r="I330" s="4" t="s">
        <v>668</v>
      </c>
      <c r="J330" s="4">
        <v>6</v>
      </c>
      <c r="K330" s="4" t="s">
        <v>21</v>
      </c>
      <c r="L330" s="4" t="s">
        <v>22</v>
      </c>
      <c r="M330" s="4">
        <v>11</v>
      </c>
    </row>
    <row r="331" spans="1:13" x14ac:dyDescent="0.3">
      <c r="A331" s="2">
        <v>329</v>
      </c>
      <c r="B331" s="2" t="s">
        <v>683</v>
      </c>
      <c r="C331" s="2" t="s">
        <v>684</v>
      </c>
      <c r="D331" s="2" t="s">
        <v>16</v>
      </c>
      <c r="E331" s="2" t="s">
        <v>50</v>
      </c>
      <c r="F331" s="2" t="s">
        <v>18</v>
      </c>
      <c r="G331" s="3">
        <v>36000</v>
      </c>
      <c r="H331" s="2" t="s">
        <v>36</v>
      </c>
      <c r="I331" s="2" t="s">
        <v>668</v>
      </c>
      <c r="J331" s="2">
        <v>12</v>
      </c>
      <c r="K331" s="2" t="s">
        <v>21</v>
      </c>
      <c r="L331" s="2" t="s">
        <v>22</v>
      </c>
      <c r="M331" s="2">
        <v>7</v>
      </c>
    </row>
    <row r="332" spans="1:13" x14ac:dyDescent="0.3">
      <c r="A332" s="4">
        <v>330</v>
      </c>
      <c r="B332" s="4" t="s">
        <v>685</v>
      </c>
      <c r="C332" s="4" t="s">
        <v>15</v>
      </c>
      <c r="D332" s="4" t="s">
        <v>30</v>
      </c>
      <c r="E332" s="4" t="s">
        <v>55</v>
      </c>
      <c r="F332" s="4" t="s">
        <v>118</v>
      </c>
      <c r="G332" s="5">
        <v>50000</v>
      </c>
      <c r="H332" s="4" t="s">
        <v>32</v>
      </c>
      <c r="I332" s="4" t="s">
        <v>668</v>
      </c>
      <c r="J332" s="4">
        <v>11</v>
      </c>
      <c r="K332" s="4" t="s">
        <v>27</v>
      </c>
      <c r="L332" s="4" t="s">
        <v>22</v>
      </c>
      <c r="M332" s="4">
        <v>11</v>
      </c>
    </row>
    <row r="333" spans="1:13" x14ac:dyDescent="0.3">
      <c r="A333" s="2">
        <v>331</v>
      </c>
      <c r="B333" s="2" t="s">
        <v>686</v>
      </c>
      <c r="C333" s="2" t="s">
        <v>687</v>
      </c>
      <c r="D333" s="2" t="s">
        <v>16</v>
      </c>
      <c r="E333" s="2" t="s">
        <v>73</v>
      </c>
      <c r="F333" s="2" t="s">
        <v>266</v>
      </c>
      <c r="G333" s="3">
        <v>45000</v>
      </c>
      <c r="H333" s="2" t="s">
        <v>36</v>
      </c>
      <c r="I333" s="2" t="s">
        <v>668</v>
      </c>
      <c r="J333" s="2">
        <v>16</v>
      </c>
      <c r="K333" s="2" t="s">
        <v>21</v>
      </c>
      <c r="L333" s="2" t="s">
        <v>22</v>
      </c>
      <c r="M333" s="2">
        <v>6</v>
      </c>
    </row>
    <row r="334" spans="1:13" x14ac:dyDescent="0.3">
      <c r="A334" s="4">
        <v>332</v>
      </c>
      <c r="B334" s="4" t="s">
        <v>688</v>
      </c>
      <c r="C334" s="4" t="s">
        <v>689</v>
      </c>
      <c r="D334" s="4" t="s">
        <v>54</v>
      </c>
      <c r="E334" s="4" t="s">
        <v>50</v>
      </c>
      <c r="F334" s="4" t="s">
        <v>200</v>
      </c>
      <c r="G334" s="5">
        <v>63000</v>
      </c>
      <c r="H334" s="4" t="s">
        <v>36</v>
      </c>
      <c r="I334" s="4" t="s">
        <v>668</v>
      </c>
      <c r="J334" s="4">
        <v>0</v>
      </c>
      <c r="K334" s="4" t="s">
        <v>27</v>
      </c>
      <c r="L334" s="4" t="s">
        <v>46</v>
      </c>
      <c r="M334" s="4">
        <v>1</v>
      </c>
    </row>
    <row r="335" spans="1:13" x14ac:dyDescent="0.3">
      <c r="A335" s="2">
        <v>333</v>
      </c>
      <c r="B335" s="2" t="s">
        <v>690</v>
      </c>
      <c r="C335" s="2" t="s">
        <v>691</v>
      </c>
      <c r="D335" s="2" t="s">
        <v>59</v>
      </c>
      <c r="E335" s="2" t="s">
        <v>73</v>
      </c>
      <c r="F335" s="2" t="s">
        <v>85</v>
      </c>
      <c r="G335" s="3">
        <v>42000</v>
      </c>
      <c r="H335" s="2" t="s">
        <v>26</v>
      </c>
      <c r="I335" s="2" t="s">
        <v>668</v>
      </c>
      <c r="J335" s="2">
        <v>11</v>
      </c>
      <c r="K335" s="2" t="s">
        <v>21</v>
      </c>
      <c r="L335" s="2" t="s">
        <v>22</v>
      </c>
      <c r="M335" s="2">
        <v>2</v>
      </c>
    </row>
    <row r="336" spans="1:13" x14ac:dyDescent="0.3">
      <c r="A336" s="4">
        <v>334</v>
      </c>
      <c r="B336" s="4" t="s">
        <v>692</v>
      </c>
      <c r="C336" s="4" t="s">
        <v>693</v>
      </c>
      <c r="D336" s="4" t="s">
        <v>30</v>
      </c>
      <c r="E336" s="4" t="s">
        <v>60</v>
      </c>
      <c r="F336" s="4" t="s">
        <v>31</v>
      </c>
      <c r="G336" s="5">
        <v>52000</v>
      </c>
      <c r="H336" s="4" t="s">
        <v>36</v>
      </c>
      <c r="I336" s="4" t="s">
        <v>668</v>
      </c>
      <c r="J336" s="4">
        <v>11</v>
      </c>
      <c r="K336" s="4" t="s">
        <v>27</v>
      </c>
      <c r="L336" s="4" t="s">
        <v>22</v>
      </c>
      <c r="M336" s="4">
        <v>2</v>
      </c>
    </row>
    <row r="337" spans="1:13" x14ac:dyDescent="0.3">
      <c r="A337" s="2">
        <v>335</v>
      </c>
      <c r="B337" s="2" t="s">
        <v>694</v>
      </c>
      <c r="C337" s="2" t="s">
        <v>191</v>
      </c>
      <c r="D337" s="2" t="s">
        <v>16</v>
      </c>
      <c r="E337" s="2" t="s">
        <v>45</v>
      </c>
      <c r="F337" s="2" t="s">
        <v>266</v>
      </c>
      <c r="G337" s="3">
        <v>74000</v>
      </c>
      <c r="H337" s="2" t="s">
        <v>19</v>
      </c>
      <c r="I337" s="2" t="s">
        <v>668</v>
      </c>
      <c r="J337" s="2">
        <v>18</v>
      </c>
      <c r="K337" s="2" t="s">
        <v>21</v>
      </c>
      <c r="L337" s="2" t="s">
        <v>22</v>
      </c>
      <c r="M337" s="2">
        <v>1</v>
      </c>
    </row>
    <row r="338" spans="1:13" x14ac:dyDescent="0.3">
      <c r="A338" s="4">
        <v>336</v>
      </c>
      <c r="B338" s="4" t="s">
        <v>695</v>
      </c>
      <c r="C338" s="4" t="s">
        <v>696</v>
      </c>
      <c r="D338" s="4" t="s">
        <v>54</v>
      </c>
      <c r="E338" s="4" t="s">
        <v>50</v>
      </c>
      <c r="F338" s="4" t="s">
        <v>247</v>
      </c>
      <c r="G338" s="5">
        <v>46000</v>
      </c>
      <c r="H338" s="4" t="s">
        <v>32</v>
      </c>
      <c r="I338" s="4" t="s">
        <v>668</v>
      </c>
      <c r="J338" s="4">
        <v>14</v>
      </c>
      <c r="K338" s="4" t="s">
        <v>27</v>
      </c>
      <c r="L338" s="4" t="s">
        <v>22</v>
      </c>
      <c r="M338" s="4">
        <v>1</v>
      </c>
    </row>
    <row r="339" spans="1:13" x14ac:dyDescent="0.3">
      <c r="A339" s="2">
        <v>337</v>
      </c>
      <c r="B339" s="2" t="s">
        <v>697</v>
      </c>
      <c r="C339" s="2" t="s">
        <v>698</v>
      </c>
      <c r="D339" s="2" t="s">
        <v>49</v>
      </c>
      <c r="E339" s="2" t="s">
        <v>45</v>
      </c>
      <c r="F339" s="2" t="s">
        <v>108</v>
      </c>
      <c r="G339" s="3">
        <v>55000</v>
      </c>
      <c r="H339" s="2" t="s">
        <v>19</v>
      </c>
      <c r="I339" s="2" t="s">
        <v>668</v>
      </c>
      <c r="J339" s="2">
        <v>5</v>
      </c>
      <c r="K339" s="2" t="s">
        <v>27</v>
      </c>
      <c r="L339" s="2" t="s">
        <v>22</v>
      </c>
      <c r="M339" s="2">
        <v>10</v>
      </c>
    </row>
    <row r="340" spans="1:13" x14ac:dyDescent="0.3">
      <c r="A340" s="4">
        <v>338</v>
      </c>
      <c r="B340" s="4" t="s">
        <v>699</v>
      </c>
      <c r="C340" s="4" t="s">
        <v>700</v>
      </c>
      <c r="D340" s="4" t="s">
        <v>30</v>
      </c>
      <c r="E340" s="4" t="s">
        <v>45</v>
      </c>
      <c r="F340" s="4" t="s">
        <v>118</v>
      </c>
      <c r="G340" s="5">
        <v>60000</v>
      </c>
      <c r="H340" s="4" t="s">
        <v>36</v>
      </c>
      <c r="I340" s="4" t="s">
        <v>668</v>
      </c>
      <c r="J340" s="4">
        <v>10</v>
      </c>
      <c r="K340" s="4" t="s">
        <v>27</v>
      </c>
      <c r="L340" s="4" t="s">
        <v>22</v>
      </c>
      <c r="M340" s="4">
        <v>4</v>
      </c>
    </row>
    <row r="341" spans="1:13" x14ac:dyDescent="0.3">
      <c r="A341" s="2">
        <v>339</v>
      </c>
      <c r="B341" s="2" t="s">
        <v>701</v>
      </c>
      <c r="C341" s="2" t="s">
        <v>702</v>
      </c>
      <c r="D341" s="2" t="s">
        <v>66</v>
      </c>
      <c r="E341" s="2" t="s">
        <v>39</v>
      </c>
      <c r="F341" s="2" t="s">
        <v>121</v>
      </c>
      <c r="G341" s="3">
        <v>29000</v>
      </c>
      <c r="H341" s="2" t="s">
        <v>36</v>
      </c>
      <c r="I341" s="2" t="s">
        <v>668</v>
      </c>
      <c r="J341" s="2">
        <v>3</v>
      </c>
      <c r="K341" s="2" t="s">
        <v>27</v>
      </c>
      <c r="L341" s="2" t="s">
        <v>22</v>
      </c>
      <c r="M341" s="2">
        <v>6</v>
      </c>
    </row>
    <row r="342" spans="1:13" x14ac:dyDescent="0.3">
      <c r="A342" s="4">
        <v>340</v>
      </c>
      <c r="B342" s="4" t="s">
        <v>703</v>
      </c>
      <c r="C342" s="4" t="s">
        <v>704</v>
      </c>
      <c r="D342" s="4" t="s">
        <v>49</v>
      </c>
      <c r="E342" s="4" t="s">
        <v>73</v>
      </c>
      <c r="F342" s="4" t="s">
        <v>189</v>
      </c>
      <c r="G342" s="5">
        <v>39000</v>
      </c>
      <c r="H342" s="4" t="s">
        <v>26</v>
      </c>
      <c r="I342" s="4" t="s">
        <v>668</v>
      </c>
      <c r="J342" s="4">
        <v>15</v>
      </c>
      <c r="K342" s="4" t="s">
        <v>21</v>
      </c>
      <c r="L342" s="4" t="s">
        <v>22</v>
      </c>
      <c r="M342" s="4">
        <v>0</v>
      </c>
    </row>
    <row r="343" spans="1:13" x14ac:dyDescent="0.3">
      <c r="A343" s="2">
        <v>341</v>
      </c>
      <c r="B343" s="2" t="s">
        <v>705</v>
      </c>
      <c r="C343" s="2" t="s">
        <v>706</v>
      </c>
      <c r="D343" s="2" t="s">
        <v>66</v>
      </c>
      <c r="E343" s="2" t="s">
        <v>73</v>
      </c>
      <c r="F343" s="2" t="s">
        <v>67</v>
      </c>
      <c r="G343" s="3">
        <v>28000</v>
      </c>
      <c r="H343" s="2" t="s">
        <v>19</v>
      </c>
      <c r="I343" s="2" t="s">
        <v>668</v>
      </c>
      <c r="J343" s="2">
        <v>15</v>
      </c>
      <c r="K343" s="2" t="s">
        <v>21</v>
      </c>
      <c r="L343" s="2" t="s">
        <v>22</v>
      </c>
      <c r="M343" s="2">
        <v>9</v>
      </c>
    </row>
    <row r="344" spans="1:13" x14ac:dyDescent="0.3">
      <c r="A344" s="4">
        <v>342</v>
      </c>
      <c r="B344" s="4" t="s">
        <v>707</v>
      </c>
      <c r="C344" s="4" t="s">
        <v>708</v>
      </c>
      <c r="D344" s="4" t="s">
        <v>90</v>
      </c>
      <c r="E344" s="4" t="s">
        <v>50</v>
      </c>
      <c r="F344" s="4" t="s">
        <v>113</v>
      </c>
      <c r="G344" s="5">
        <v>39000</v>
      </c>
      <c r="H344" s="4" t="s">
        <v>19</v>
      </c>
      <c r="I344" s="4" t="s">
        <v>668</v>
      </c>
      <c r="J344" s="4">
        <v>14</v>
      </c>
      <c r="K344" s="4" t="s">
        <v>21</v>
      </c>
      <c r="L344" s="4" t="s">
        <v>57</v>
      </c>
      <c r="M344" s="4">
        <v>1</v>
      </c>
    </row>
    <row r="345" spans="1:13" x14ac:dyDescent="0.3">
      <c r="A345" s="2">
        <v>343</v>
      </c>
      <c r="B345" s="2" t="s">
        <v>709</v>
      </c>
      <c r="C345" s="2" t="s">
        <v>710</v>
      </c>
      <c r="D345" s="2" t="s">
        <v>59</v>
      </c>
      <c r="E345" s="2" t="s">
        <v>25</v>
      </c>
      <c r="F345" s="2" t="s">
        <v>80</v>
      </c>
      <c r="G345" s="3">
        <v>54000</v>
      </c>
      <c r="H345" s="2" t="s">
        <v>36</v>
      </c>
      <c r="I345" s="2" t="s">
        <v>668</v>
      </c>
      <c r="J345" s="2">
        <v>11</v>
      </c>
      <c r="K345" s="2" t="s">
        <v>27</v>
      </c>
      <c r="L345" s="2" t="s">
        <v>22</v>
      </c>
      <c r="M345" s="2">
        <v>4</v>
      </c>
    </row>
    <row r="346" spans="1:13" x14ac:dyDescent="0.3">
      <c r="A346" s="4">
        <v>344</v>
      </c>
      <c r="B346" s="4" t="s">
        <v>711</v>
      </c>
      <c r="C346" s="4" t="s">
        <v>712</v>
      </c>
      <c r="D346" s="4" t="s">
        <v>101</v>
      </c>
      <c r="E346" s="4" t="s">
        <v>25</v>
      </c>
      <c r="F346" s="4" t="s">
        <v>102</v>
      </c>
      <c r="G346" s="5">
        <v>59000</v>
      </c>
      <c r="H346" s="4" t="s">
        <v>19</v>
      </c>
      <c r="I346" s="4" t="s">
        <v>668</v>
      </c>
      <c r="J346" s="4">
        <v>17</v>
      </c>
      <c r="K346" s="4" t="s">
        <v>27</v>
      </c>
      <c r="L346" s="4" t="s">
        <v>22</v>
      </c>
      <c r="M346" s="4">
        <v>6</v>
      </c>
    </row>
    <row r="347" spans="1:13" x14ac:dyDescent="0.3">
      <c r="A347" s="2">
        <v>345</v>
      </c>
      <c r="B347" s="2" t="s">
        <v>713</v>
      </c>
      <c r="C347" s="2" t="s">
        <v>449</v>
      </c>
      <c r="D347" s="2" t="s">
        <v>101</v>
      </c>
      <c r="E347" s="2" t="s">
        <v>73</v>
      </c>
      <c r="F347" s="2" t="s">
        <v>102</v>
      </c>
      <c r="G347" s="3">
        <v>108000</v>
      </c>
      <c r="H347" s="2" t="s">
        <v>26</v>
      </c>
      <c r="I347" s="2" t="s">
        <v>668</v>
      </c>
      <c r="J347" s="2">
        <v>11</v>
      </c>
      <c r="K347" s="2" t="s">
        <v>27</v>
      </c>
      <c r="L347" s="2" t="s">
        <v>22</v>
      </c>
      <c r="M347" s="2">
        <v>11</v>
      </c>
    </row>
    <row r="348" spans="1:13" x14ac:dyDescent="0.3">
      <c r="A348" s="4">
        <v>346</v>
      </c>
      <c r="B348" s="4" t="s">
        <v>714</v>
      </c>
      <c r="C348" s="4" t="s">
        <v>344</v>
      </c>
      <c r="D348" s="4" t="s">
        <v>59</v>
      </c>
      <c r="E348" s="4" t="s">
        <v>25</v>
      </c>
      <c r="F348" s="4" t="s">
        <v>85</v>
      </c>
      <c r="G348" s="5">
        <v>82000</v>
      </c>
      <c r="H348" s="4" t="s">
        <v>32</v>
      </c>
      <c r="I348" s="4" t="s">
        <v>668</v>
      </c>
      <c r="J348" s="4">
        <v>13</v>
      </c>
      <c r="K348" s="4" t="s">
        <v>21</v>
      </c>
      <c r="L348" s="4" t="s">
        <v>22</v>
      </c>
      <c r="M348" s="4">
        <v>9</v>
      </c>
    </row>
    <row r="349" spans="1:13" x14ac:dyDescent="0.3">
      <c r="A349" s="2">
        <v>347</v>
      </c>
      <c r="B349" s="2" t="s">
        <v>715</v>
      </c>
      <c r="C349" s="2" t="s">
        <v>112</v>
      </c>
      <c r="D349" s="2" t="s">
        <v>66</v>
      </c>
      <c r="E349" s="2" t="s">
        <v>25</v>
      </c>
      <c r="F349" s="2" t="s">
        <v>121</v>
      </c>
      <c r="G349" s="3">
        <v>101000</v>
      </c>
      <c r="H349" s="2" t="s">
        <v>36</v>
      </c>
      <c r="I349" s="2" t="s">
        <v>668</v>
      </c>
      <c r="J349" s="2">
        <v>7</v>
      </c>
      <c r="K349" s="2" t="s">
        <v>21</v>
      </c>
      <c r="L349" s="2" t="s">
        <v>22</v>
      </c>
      <c r="M349" s="2">
        <v>5</v>
      </c>
    </row>
    <row r="350" spans="1:13" x14ac:dyDescent="0.3">
      <c r="A350" s="4">
        <v>348</v>
      </c>
      <c r="B350" s="4" t="s">
        <v>716</v>
      </c>
      <c r="C350" s="4" t="s">
        <v>717</v>
      </c>
      <c r="D350" s="4" t="s">
        <v>101</v>
      </c>
      <c r="E350" s="4" t="s">
        <v>55</v>
      </c>
      <c r="F350" s="4" t="s">
        <v>349</v>
      </c>
      <c r="G350" s="5">
        <v>97000</v>
      </c>
      <c r="H350" s="4" t="s">
        <v>32</v>
      </c>
      <c r="I350" s="4" t="s">
        <v>668</v>
      </c>
      <c r="J350" s="4">
        <v>7</v>
      </c>
      <c r="K350" s="4" t="s">
        <v>21</v>
      </c>
      <c r="L350" s="4" t="s">
        <v>46</v>
      </c>
      <c r="M350" s="4">
        <v>0</v>
      </c>
    </row>
    <row r="351" spans="1:13" x14ac:dyDescent="0.3">
      <c r="A351" s="2">
        <v>349</v>
      </c>
      <c r="B351" s="2" t="s">
        <v>718</v>
      </c>
      <c r="C351" s="2" t="s">
        <v>719</v>
      </c>
      <c r="D351" s="2" t="s">
        <v>59</v>
      </c>
      <c r="E351" s="2" t="s">
        <v>39</v>
      </c>
      <c r="F351" s="2" t="s">
        <v>80</v>
      </c>
      <c r="G351" s="3">
        <v>94000</v>
      </c>
      <c r="H351" s="2" t="s">
        <v>36</v>
      </c>
      <c r="I351" s="2" t="s">
        <v>668</v>
      </c>
      <c r="J351" s="2">
        <v>10</v>
      </c>
      <c r="K351" s="2" t="s">
        <v>21</v>
      </c>
      <c r="L351" s="2" t="s">
        <v>22</v>
      </c>
      <c r="M351" s="2">
        <v>8</v>
      </c>
    </row>
    <row r="352" spans="1:13" x14ac:dyDescent="0.3">
      <c r="A352" s="4">
        <v>350</v>
      </c>
      <c r="B352" s="4" t="s">
        <v>720</v>
      </c>
      <c r="C352" s="4" t="s">
        <v>721</v>
      </c>
      <c r="D352" s="4" t="s">
        <v>66</v>
      </c>
      <c r="E352" s="4" t="s">
        <v>73</v>
      </c>
      <c r="F352" s="4" t="s">
        <v>67</v>
      </c>
      <c r="G352" s="5">
        <v>31000</v>
      </c>
      <c r="H352" s="4" t="s">
        <v>26</v>
      </c>
      <c r="I352" s="4" t="s">
        <v>668</v>
      </c>
      <c r="J352" s="4">
        <v>6</v>
      </c>
      <c r="K352" s="4" t="s">
        <v>21</v>
      </c>
      <c r="L352" s="4" t="s">
        <v>22</v>
      </c>
      <c r="M352" s="4">
        <v>10</v>
      </c>
    </row>
    <row r="353" spans="1:13" x14ac:dyDescent="0.3">
      <c r="A353" s="2">
        <v>351</v>
      </c>
      <c r="B353" s="2" t="s">
        <v>722</v>
      </c>
      <c r="C353" s="2" t="s">
        <v>104</v>
      </c>
      <c r="D353" s="2" t="s">
        <v>30</v>
      </c>
      <c r="E353" s="2" t="s">
        <v>39</v>
      </c>
      <c r="F353" s="2" t="s">
        <v>77</v>
      </c>
      <c r="G353" s="3">
        <v>72000</v>
      </c>
      <c r="H353" s="2" t="s">
        <v>32</v>
      </c>
      <c r="I353" s="2" t="s">
        <v>668</v>
      </c>
      <c r="J353" s="2">
        <v>6</v>
      </c>
      <c r="K353" s="2" t="s">
        <v>27</v>
      </c>
      <c r="L353" s="2" t="s">
        <v>22</v>
      </c>
      <c r="M353" s="2">
        <v>9</v>
      </c>
    </row>
    <row r="354" spans="1:13" x14ac:dyDescent="0.3">
      <c r="A354" s="4">
        <v>352</v>
      </c>
      <c r="B354" s="4" t="s">
        <v>723</v>
      </c>
      <c r="C354" s="4" t="s">
        <v>724</v>
      </c>
      <c r="D354" s="4" t="s">
        <v>59</v>
      </c>
      <c r="E354" s="4" t="s">
        <v>25</v>
      </c>
      <c r="F354" s="4" t="s">
        <v>319</v>
      </c>
      <c r="G354" s="5">
        <v>68000</v>
      </c>
      <c r="H354" s="4" t="s">
        <v>36</v>
      </c>
      <c r="I354" s="4" t="s">
        <v>668</v>
      </c>
      <c r="J354" s="4">
        <v>2</v>
      </c>
      <c r="K354" s="4" t="s">
        <v>21</v>
      </c>
      <c r="L354" s="4" t="s">
        <v>22</v>
      </c>
      <c r="M354" s="4">
        <v>1</v>
      </c>
    </row>
    <row r="355" spans="1:13" x14ac:dyDescent="0.3">
      <c r="A355" s="2">
        <v>353</v>
      </c>
      <c r="B355" s="2" t="s">
        <v>725</v>
      </c>
      <c r="C355" s="2" t="s">
        <v>726</v>
      </c>
      <c r="D355" s="2" t="s">
        <v>66</v>
      </c>
      <c r="E355" s="2" t="s">
        <v>50</v>
      </c>
      <c r="F355" s="2" t="s">
        <v>67</v>
      </c>
      <c r="G355" s="3">
        <v>27000</v>
      </c>
      <c r="H355" s="2" t="s">
        <v>32</v>
      </c>
      <c r="I355" s="2" t="s">
        <v>668</v>
      </c>
      <c r="J355" s="2">
        <v>13</v>
      </c>
      <c r="K355" s="2" t="s">
        <v>27</v>
      </c>
      <c r="L355" s="2" t="s">
        <v>22</v>
      </c>
      <c r="M355" s="2">
        <v>10</v>
      </c>
    </row>
    <row r="356" spans="1:13" x14ac:dyDescent="0.3">
      <c r="A356" s="4">
        <v>354</v>
      </c>
      <c r="B356" s="4" t="s">
        <v>727</v>
      </c>
      <c r="C356" s="4" t="s">
        <v>193</v>
      </c>
      <c r="D356" s="4" t="s">
        <v>54</v>
      </c>
      <c r="E356" s="4" t="s">
        <v>60</v>
      </c>
      <c r="F356" s="4" t="s">
        <v>158</v>
      </c>
      <c r="G356" s="5">
        <v>39000</v>
      </c>
      <c r="H356" s="4" t="s">
        <v>19</v>
      </c>
      <c r="I356" s="4" t="s">
        <v>668</v>
      </c>
      <c r="J356" s="4">
        <v>1</v>
      </c>
      <c r="K356" s="4" t="s">
        <v>27</v>
      </c>
      <c r="L356" s="4" t="s">
        <v>22</v>
      </c>
      <c r="M356" s="4">
        <v>2</v>
      </c>
    </row>
    <row r="357" spans="1:13" x14ac:dyDescent="0.3">
      <c r="A357" s="2">
        <v>355</v>
      </c>
      <c r="B357" s="2" t="s">
        <v>728</v>
      </c>
      <c r="C357" s="2" t="s">
        <v>729</v>
      </c>
      <c r="D357" s="2" t="s">
        <v>59</v>
      </c>
      <c r="E357" s="2" t="s">
        <v>17</v>
      </c>
      <c r="F357" s="2" t="s">
        <v>319</v>
      </c>
      <c r="G357" s="3">
        <v>64000</v>
      </c>
      <c r="H357" s="2" t="s">
        <v>36</v>
      </c>
      <c r="I357" s="2" t="s">
        <v>668</v>
      </c>
      <c r="J357" s="2">
        <v>2</v>
      </c>
      <c r="K357" s="2" t="s">
        <v>21</v>
      </c>
      <c r="L357" s="2" t="s">
        <v>22</v>
      </c>
      <c r="M357" s="2">
        <v>12</v>
      </c>
    </row>
    <row r="358" spans="1:13" x14ac:dyDescent="0.3">
      <c r="A358" s="4">
        <v>356</v>
      </c>
      <c r="B358" s="4" t="s">
        <v>730</v>
      </c>
      <c r="C358" s="4" t="s">
        <v>325</v>
      </c>
      <c r="D358" s="4" t="s">
        <v>59</v>
      </c>
      <c r="E358" s="4" t="s">
        <v>39</v>
      </c>
      <c r="F358" s="4" t="s">
        <v>80</v>
      </c>
      <c r="G358" s="5">
        <v>94000</v>
      </c>
      <c r="H358" s="4" t="s">
        <v>36</v>
      </c>
      <c r="I358" s="4" t="s">
        <v>668</v>
      </c>
      <c r="J358" s="4">
        <v>4</v>
      </c>
      <c r="K358" s="4" t="s">
        <v>27</v>
      </c>
      <c r="L358" s="4" t="s">
        <v>22</v>
      </c>
      <c r="M358" s="4">
        <v>11</v>
      </c>
    </row>
    <row r="359" spans="1:13" x14ac:dyDescent="0.3">
      <c r="A359" s="2">
        <v>357</v>
      </c>
      <c r="B359" s="2" t="s">
        <v>731</v>
      </c>
      <c r="C359" s="2" t="s">
        <v>732</v>
      </c>
      <c r="D359" s="2" t="s">
        <v>16</v>
      </c>
      <c r="E359" s="2" t="s">
        <v>73</v>
      </c>
      <c r="F359" s="2" t="s">
        <v>74</v>
      </c>
      <c r="G359" s="3">
        <v>53000</v>
      </c>
      <c r="H359" s="2" t="s">
        <v>36</v>
      </c>
      <c r="I359" s="2" t="s">
        <v>668</v>
      </c>
      <c r="J359" s="2">
        <v>14</v>
      </c>
      <c r="K359" s="2" t="s">
        <v>21</v>
      </c>
      <c r="L359" s="2" t="s">
        <v>22</v>
      </c>
      <c r="M359" s="2">
        <v>11</v>
      </c>
    </row>
    <row r="360" spans="1:13" x14ac:dyDescent="0.3">
      <c r="A360" s="4">
        <v>358</v>
      </c>
      <c r="B360" s="4" t="s">
        <v>733</v>
      </c>
      <c r="C360" s="4" t="s">
        <v>230</v>
      </c>
      <c r="D360" s="4" t="s">
        <v>49</v>
      </c>
      <c r="E360" s="4" t="s">
        <v>25</v>
      </c>
      <c r="F360" s="4" t="s">
        <v>108</v>
      </c>
      <c r="G360" s="5">
        <v>29000</v>
      </c>
      <c r="H360" s="4" t="s">
        <v>19</v>
      </c>
      <c r="I360" s="4" t="s">
        <v>668</v>
      </c>
      <c r="J360" s="4">
        <v>1</v>
      </c>
      <c r="K360" s="4" t="s">
        <v>27</v>
      </c>
      <c r="L360" s="4" t="s">
        <v>22</v>
      </c>
      <c r="M360" s="4">
        <v>8</v>
      </c>
    </row>
    <row r="361" spans="1:13" x14ac:dyDescent="0.3">
      <c r="A361" s="2">
        <v>359</v>
      </c>
      <c r="B361" s="2" t="s">
        <v>734</v>
      </c>
      <c r="C361" s="2" t="s">
        <v>735</v>
      </c>
      <c r="D361" s="2" t="s">
        <v>59</v>
      </c>
      <c r="E361" s="2" t="s">
        <v>55</v>
      </c>
      <c r="F361" s="2" t="s">
        <v>319</v>
      </c>
      <c r="G361" s="3">
        <v>81000</v>
      </c>
      <c r="H361" s="2" t="s">
        <v>36</v>
      </c>
      <c r="I361" s="2" t="s">
        <v>668</v>
      </c>
      <c r="J361" s="2">
        <v>12</v>
      </c>
      <c r="K361" s="2" t="s">
        <v>21</v>
      </c>
      <c r="L361" s="2" t="s">
        <v>22</v>
      </c>
      <c r="M361" s="2">
        <v>12</v>
      </c>
    </row>
    <row r="362" spans="1:13" x14ac:dyDescent="0.3">
      <c r="A362" s="4">
        <v>360</v>
      </c>
      <c r="B362" s="4" t="s">
        <v>736</v>
      </c>
      <c r="C362" s="4" t="s">
        <v>473</v>
      </c>
      <c r="D362" s="4" t="s">
        <v>30</v>
      </c>
      <c r="E362" s="4" t="s">
        <v>50</v>
      </c>
      <c r="F362" s="4" t="s">
        <v>77</v>
      </c>
      <c r="G362" s="5">
        <v>22000</v>
      </c>
      <c r="H362" s="4" t="s">
        <v>32</v>
      </c>
      <c r="I362" s="4" t="s">
        <v>668</v>
      </c>
      <c r="J362" s="4">
        <v>9</v>
      </c>
      <c r="K362" s="4" t="s">
        <v>21</v>
      </c>
      <c r="L362" s="4" t="s">
        <v>57</v>
      </c>
      <c r="M362" s="4">
        <v>10</v>
      </c>
    </row>
    <row r="363" spans="1:13" x14ac:dyDescent="0.3">
      <c r="A363" s="2">
        <v>361</v>
      </c>
      <c r="B363" s="2" t="s">
        <v>737</v>
      </c>
      <c r="C363" s="2" t="s">
        <v>738</v>
      </c>
      <c r="D363" s="2" t="s">
        <v>54</v>
      </c>
      <c r="E363" s="2" t="s">
        <v>39</v>
      </c>
      <c r="F363" s="2" t="s">
        <v>56</v>
      </c>
      <c r="G363" s="3">
        <v>72000</v>
      </c>
      <c r="H363" s="2" t="s">
        <v>32</v>
      </c>
      <c r="I363" s="2" t="s">
        <v>739</v>
      </c>
      <c r="J363" s="2">
        <v>7</v>
      </c>
      <c r="K363" s="2" t="s">
        <v>21</v>
      </c>
      <c r="L363" s="2" t="s">
        <v>22</v>
      </c>
      <c r="M363" s="2">
        <v>6</v>
      </c>
    </row>
    <row r="364" spans="1:13" x14ac:dyDescent="0.3">
      <c r="A364" s="4">
        <v>362</v>
      </c>
      <c r="B364" s="4" t="s">
        <v>740</v>
      </c>
      <c r="C364" s="4" t="s">
        <v>741</v>
      </c>
      <c r="D364" s="4" t="s">
        <v>59</v>
      </c>
      <c r="E364" s="4" t="s">
        <v>50</v>
      </c>
      <c r="F364" s="4" t="s">
        <v>85</v>
      </c>
      <c r="G364" s="5">
        <v>24000</v>
      </c>
      <c r="H364" s="4" t="s">
        <v>36</v>
      </c>
      <c r="I364" s="4" t="s">
        <v>739</v>
      </c>
      <c r="J364" s="4">
        <v>6</v>
      </c>
      <c r="K364" s="4" t="s">
        <v>21</v>
      </c>
      <c r="L364" s="4" t="s">
        <v>22</v>
      </c>
      <c r="M364" s="4">
        <v>3</v>
      </c>
    </row>
    <row r="365" spans="1:13" x14ac:dyDescent="0.3">
      <c r="A365" s="2">
        <v>363</v>
      </c>
      <c r="B365" s="2" t="s">
        <v>742</v>
      </c>
      <c r="C365" s="2" t="s">
        <v>743</v>
      </c>
      <c r="D365" s="2" t="s">
        <v>54</v>
      </c>
      <c r="E365" s="2" t="s">
        <v>55</v>
      </c>
      <c r="F365" s="2" t="s">
        <v>247</v>
      </c>
      <c r="G365" s="3">
        <v>68000</v>
      </c>
      <c r="H365" s="2" t="s">
        <v>19</v>
      </c>
      <c r="I365" s="2" t="s">
        <v>739</v>
      </c>
      <c r="J365" s="2">
        <v>10</v>
      </c>
      <c r="K365" s="2" t="s">
        <v>27</v>
      </c>
      <c r="L365" s="2" t="s">
        <v>22</v>
      </c>
      <c r="M365" s="2">
        <v>7</v>
      </c>
    </row>
    <row r="366" spans="1:13" x14ac:dyDescent="0.3">
      <c r="A366" s="4">
        <v>364</v>
      </c>
      <c r="B366" s="4" t="s">
        <v>744</v>
      </c>
      <c r="C366" s="4" t="s">
        <v>745</v>
      </c>
      <c r="D366" s="4" t="s">
        <v>49</v>
      </c>
      <c r="E366" s="4" t="s">
        <v>50</v>
      </c>
      <c r="F366" s="4" t="s">
        <v>108</v>
      </c>
      <c r="G366" s="5">
        <v>65000</v>
      </c>
      <c r="H366" s="4" t="s">
        <v>19</v>
      </c>
      <c r="I366" s="4" t="s">
        <v>739</v>
      </c>
      <c r="J366" s="4">
        <v>9</v>
      </c>
      <c r="K366" s="4" t="s">
        <v>21</v>
      </c>
      <c r="L366" s="4" t="s">
        <v>46</v>
      </c>
      <c r="M366" s="4">
        <v>0</v>
      </c>
    </row>
    <row r="367" spans="1:13" x14ac:dyDescent="0.3">
      <c r="A367" s="2">
        <v>365</v>
      </c>
      <c r="B367" s="2" t="s">
        <v>746</v>
      </c>
      <c r="C367" s="2" t="s">
        <v>747</v>
      </c>
      <c r="D367" s="2" t="s">
        <v>101</v>
      </c>
      <c r="E367" s="2" t="s">
        <v>60</v>
      </c>
      <c r="F367" s="2" t="s">
        <v>349</v>
      </c>
      <c r="G367" s="3">
        <v>45000</v>
      </c>
      <c r="H367" s="2" t="s">
        <v>19</v>
      </c>
      <c r="I367" s="2" t="s">
        <v>739</v>
      </c>
      <c r="J367" s="2">
        <v>11</v>
      </c>
      <c r="K367" s="2" t="s">
        <v>27</v>
      </c>
      <c r="L367" s="2" t="s">
        <v>22</v>
      </c>
      <c r="M367" s="2">
        <v>0</v>
      </c>
    </row>
    <row r="368" spans="1:13" x14ac:dyDescent="0.3">
      <c r="A368" s="4">
        <v>366</v>
      </c>
      <c r="B368" s="4" t="s">
        <v>748</v>
      </c>
      <c r="C368" s="4" t="s">
        <v>288</v>
      </c>
      <c r="D368" s="4" t="s">
        <v>54</v>
      </c>
      <c r="E368" s="4" t="s">
        <v>25</v>
      </c>
      <c r="F368" s="4" t="s">
        <v>56</v>
      </c>
      <c r="G368" s="5">
        <v>43000</v>
      </c>
      <c r="H368" s="4" t="s">
        <v>19</v>
      </c>
      <c r="I368" s="4" t="s">
        <v>739</v>
      </c>
      <c r="J368" s="4">
        <v>15</v>
      </c>
      <c r="K368" s="4" t="s">
        <v>27</v>
      </c>
      <c r="L368" s="4" t="s">
        <v>22</v>
      </c>
      <c r="M368" s="4">
        <v>1</v>
      </c>
    </row>
    <row r="369" spans="1:13" x14ac:dyDescent="0.3">
      <c r="A369" s="2">
        <v>367</v>
      </c>
      <c r="B369" s="2" t="s">
        <v>749</v>
      </c>
      <c r="C369" s="2" t="s">
        <v>750</v>
      </c>
      <c r="D369" s="2" t="s">
        <v>66</v>
      </c>
      <c r="E369" s="2" t="s">
        <v>17</v>
      </c>
      <c r="F369" s="2" t="s">
        <v>121</v>
      </c>
      <c r="G369" s="3">
        <v>35000</v>
      </c>
      <c r="H369" s="2" t="s">
        <v>32</v>
      </c>
      <c r="I369" s="2" t="s">
        <v>739</v>
      </c>
      <c r="J369" s="2">
        <v>3</v>
      </c>
      <c r="K369" s="2" t="s">
        <v>27</v>
      </c>
      <c r="L369" s="2" t="s">
        <v>22</v>
      </c>
      <c r="M369" s="2">
        <v>1</v>
      </c>
    </row>
    <row r="370" spans="1:13" x14ac:dyDescent="0.3">
      <c r="A370" s="4">
        <v>368</v>
      </c>
      <c r="B370" s="4" t="s">
        <v>751</v>
      </c>
      <c r="C370" s="4" t="s">
        <v>507</v>
      </c>
      <c r="D370" s="4" t="s">
        <v>90</v>
      </c>
      <c r="E370" s="4" t="s">
        <v>17</v>
      </c>
      <c r="F370" s="4" t="s">
        <v>105</v>
      </c>
      <c r="G370" s="5">
        <v>23000</v>
      </c>
      <c r="H370" s="4" t="s">
        <v>26</v>
      </c>
      <c r="I370" s="4" t="s">
        <v>739</v>
      </c>
      <c r="J370" s="4">
        <v>1</v>
      </c>
      <c r="K370" s="4" t="s">
        <v>21</v>
      </c>
      <c r="L370" s="4" t="s">
        <v>22</v>
      </c>
      <c r="M370" s="4">
        <v>9</v>
      </c>
    </row>
    <row r="371" spans="1:13" x14ac:dyDescent="0.3">
      <c r="A371" s="2">
        <v>369</v>
      </c>
      <c r="B371" s="2" t="s">
        <v>752</v>
      </c>
      <c r="C371" s="2" t="s">
        <v>753</v>
      </c>
      <c r="D371" s="2" t="s">
        <v>49</v>
      </c>
      <c r="E371" s="2" t="s">
        <v>60</v>
      </c>
      <c r="F371" s="2" t="s">
        <v>51</v>
      </c>
      <c r="G371" s="3">
        <v>29000</v>
      </c>
      <c r="H371" s="2" t="s">
        <v>36</v>
      </c>
      <c r="I371" s="2" t="s">
        <v>739</v>
      </c>
      <c r="J371" s="2">
        <v>4</v>
      </c>
      <c r="K371" s="2" t="s">
        <v>27</v>
      </c>
      <c r="L371" s="2" t="s">
        <v>22</v>
      </c>
      <c r="M371" s="2">
        <v>5</v>
      </c>
    </row>
    <row r="372" spans="1:13" x14ac:dyDescent="0.3">
      <c r="A372" s="4">
        <v>370</v>
      </c>
      <c r="B372" s="4" t="s">
        <v>754</v>
      </c>
      <c r="C372" s="4" t="s">
        <v>721</v>
      </c>
      <c r="D372" s="4" t="s">
        <v>90</v>
      </c>
      <c r="E372" s="4" t="s">
        <v>45</v>
      </c>
      <c r="F372" s="4" t="s">
        <v>91</v>
      </c>
      <c r="G372" s="5">
        <v>55000</v>
      </c>
      <c r="H372" s="4" t="s">
        <v>36</v>
      </c>
      <c r="I372" s="4" t="s">
        <v>739</v>
      </c>
      <c r="J372" s="4">
        <v>15</v>
      </c>
      <c r="K372" s="4" t="s">
        <v>27</v>
      </c>
      <c r="L372" s="4" t="s">
        <v>22</v>
      </c>
      <c r="M372" s="4">
        <v>12</v>
      </c>
    </row>
    <row r="373" spans="1:13" x14ac:dyDescent="0.3">
      <c r="A373" s="2">
        <v>371</v>
      </c>
      <c r="B373" s="2" t="s">
        <v>755</v>
      </c>
      <c r="C373" s="2" t="s">
        <v>756</v>
      </c>
      <c r="D373" s="2" t="s">
        <v>49</v>
      </c>
      <c r="E373" s="2" t="s">
        <v>25</v>
      </c>
      <c r="F373" s="2" t="s">
        <v>70</v>
      </c>
      <c r="G373" s="3">
        <v>62000</v>
      </c>
      <c r="H373" s="2" t="s">
        <v>36</v>
      </c>
      <c r="I373" s="2" t="s">
        <v>739</v>
      </c>
      <c r="J373" s="2">
        <v>17</v>
      </c>
      <c r="K373" s="2" t="s">
        <v>27</v>
      </c>
      <c r="L373" s="2" t="s">
        <v>22</v>
      </c>
      <c r="M373" s="2">
        <v>7</v>
      </c>
    </row>
    <row r="374" spans="1:13" x14ac:dyDescent="0.3">
      <c r="A374" s="4">
        <v>372</v>
      </c>
      <c r="B374" s="4" t="s">
        <v>757</v>
      </c>
      <c r="C374" s="4" t="s">
        <v>331</v>
      </c>
      <c r="D374" s="4" t="s">
        <v>16</v>
      </c>
      <c r="E374" s="4" t="s">
        <v>55</v>
      </c>
      <c r="F374" s="4" t="s">
        <v>18</v>
      </c>
      <c r="G374" s="5">
        <v>72000</v>
      </c>
      <c r="H374" s="4" t="s">
        <v>19</v>
      </c>
      <c r="I374" s="4" t="s">
        <v>739</v>
      </c>
      <c r="J374" s="4">
        <v>15</v>
      </c>
      <c r="K374" s="4" t="s">
        <v>21</v>
      </c>
      <c r="L374" s="4" t="s">
        <v>22</v>
      </c>
      <c r="M374" s="4">
        <v>3</v>
      </c>
    </row>
    <row r="375" spans="1:13" x14ac:dyDescent="0.3">
      <c r="A375" s="2">
        <v>373</v>
      </c>
      <c r="B375" s="2" t="s">
        <v>758</v>
      </c>
      <c r="C375" s="2" t="s">
        <v>53</v>
      </c>
      <c r="D375" s="2" t="s">
        <v>54</v>
      </c>
      <c r="E375" s="2" t="s">
        <v>55</v>
      </c>
      <c r="F375" s="2" t="s">
        <v>56</v>
      </c>
      <c r="G375" s="3">
        <v>61000</v>
      </c>
      <c r="H375" s="2" t="s">
        <v>36</v>
      </c>
      <c r="I375" s="2" t="s">
        <v>739</v>
      </c>
      <c r="J375" s="2">
        <v>14</v>
      </c>
      <c r="K375" s="2" t="s">
        <v>27</v>
      </c>
      <c r="L375" s="2" t="s">
        <v>22</v>
      </c>
      <c r="M375" s="2">
        <v>11</v>
      </c>
    </row>
    <row r="376" spans="1:13" x14ac:dyDescent="0.3">
      <c r="A376" s="4">
        <v>374</v>
      </c>
      <c r="B376" s="4" t="s">
        <v>759</v>
      </c>
      <c r="C376" s="4" t="s">
        <v>15</v>
      </c>
      <c r="D376" s="4" t="s">
        <v>59</v>
      </c>
      <c r="E376" s="4" t="s">
        <v>25</v>
      </c>
      <c r="F376" s="4" t="s">
        <v>61</v>
      </c>
      <c r="G376" s="5">
        <v>44000</v>
      </c>
      <c r="H376" s="4" t="s">
        <v>19</v>
      </c>
      <c r="I376" s="4" t="s">
        <v>739</v>
      </c>
      <c r="J376" s="4">
        <v>11</v>
      </c>
      <c r="K376" s="4" t="s">
        <v>27</v>
      </c>
      <c r="L376" s="4" t="s">
        <v>22</v>
      </c>
      <c r="M376" s="4">
        <v>4</v>
      </c>
    </row>
    <row r="377" spans="1:13" x14ac:dyDescent="0.3">
      <c r="A377" s="2">
        <v>375</v>
      </c>
      <c r="B377" s="2" t="s">
        <v>760</v>
      </c>
      <c r="C377" s="2" t="s">
        <v>188</v>
      </c>
      <c r="D377" s="2" t="s">
        <v>16</v>
      </c>
      <c r="E377" s="2" t="s">
        <v>73</v>
      </c>
      <c r="F377" s="2" t="s">
        <v>74</v>
      </c>
      <c r="G377" s="3">
        <v>85000</v>
      </c>
      <c r="H377" s="2" t="s">
        <v>36</v>
      </c>
      <c r="I377" s="2" t="s">
        <v>739</v>
      </c>
      <c r="J377" s="2">
        <v>10</v>
      </c>
      <c r="K377" s="2" t="s">
        <v>27</v>
      </c>
      <c r="L377" s="2" t="s">
        <v>46</v>
      </c>
      <c r="M377" s="2">
        <v>10</v>
      </c>
    </row>
    <row r="378" spans="1:13" x14ac:dyDescent="0.3">
      <c r="A378" s="4">
        <v>376</v>
      </c>
      <c r="B378" s="4" t="s">
        <v>761</v>
      </c>
      <c r="C378" s="4" t="s">
        <v>411</v>
      </c>
      <c r="D378" s="4" t="s">
        <v>49</v>
      </c>
      <c r="E378" s="4" t="s">
        <v>55</v>
      </c>
      <c r="F378" s="4" t="s">
        <v>51</v>
      </c>
      <c r="G378" s="5">
        <v>20000</v>
      </c>
      <c r="H378" s="4" t="s">
        <v>36</v>
      </c>
      <c r="I378" s="4" t="s">
        <v>739</v>
      </c>
      <c r="J378" s="4">
        <v>9</v>
      </c>
      <c r="K378" s="4" t="s">
        <v>27</v>
      </c>
      <c r="L378" s="4" t="s">
        <v>22</v>
      </c>
      <c r="M378" s="4">
        <v>6</v>
      </c>
    </row>
    <row r="379" spans="1:13" x14ac:dyDescent="0.3">
      <c r="A379" s="2">
        <v>377</v>
      </c>
      <c r="B379" s="2" t="s">
        <v>762</v>
      </c>
      <c r="C379" s="2" t="s">
        <v>763</v>
      </c>
      <c r="D379" s="2" t="s">
        <v>101</v>
      </c>
      <c r="E379" s="2" t="s">
        <v>73</v>
      </c>
      <c r="F379" s="2" t="s">
        <v>147</v>
      </c>
      <c r="G379" s="3">
        <v>81000</v>
      </c>
      <c r="H379" s="2" t="s">
        <v>32</v>
      </c>
      <c r="I379" s="2" t="s">
        <v>739</v>
      </c>
      <c r="J379" s="2">
        <v>11</v>
      </c>
      <c r="K379" s="2" t="s">
        <v>21</v>
      </c>
      <c r="L379" s="2" t="s">
        <v>22</v>
      </c>
      <c r="M379" s="2">
        <v>4</v>
      </c>
    </row>
    <row r="380" spans="1:13" x14ac:dyDescent="0.3">
      <c r="A380" s="4">
        <v>378</v>
      </c>
      <c r="B380" s="4" t="s">
        <v>764</v>
      </c>
      <c r="C380" s="4" t="s">
        <v>765</v>
      </c>
      <c r="D380" s="4" t="s">
        <v>59</v>
      </c>
      <c r="E380" s="4" t="s">
        <v>55</v>
      </c>
      <c r="F380" s="4" t="s">
        <v>85</v>
      </c>
      <c r="G380" s="5">
        <v>36000</v>
      </c>
      <c r="H380" s="4" t="s">
        <v>19</v>
      </c>
      <c r="I380" s="4" t="s">
        <v>739</v>
      </c>
      <c r="J380" s="4">
        <v>13</v>
      </c>
      <c r="K380" s="4" t="s">
        <v>27</v>
      </c>
      <c r="L380" s="4" t="s">
        <v>22</v>
      </c>
      <c r="M380" s="4">
        <v>9</v>
      </c>
    </row>
    <row r="381" spans="1:13" x14ac:dyDescent="0.3">
      <c r="A381" s="2">
        <v>379</v>
      </c>
      <c r="B381" s="2" t="s">
        <v>766</v>
      </c>
      <c r="C381" s="2" t="s">
        <v>197</v>
      </c>
      <c r="D381" s="2" t="s">
        <v>66</v>
      </c>
      <c r="E381" s="2" t="s">
        <v>25</v>
      </c>
      <c r="F381" s="2" t="s">
        <v>67</v>
      </c>
      <c r="G381" s="3">
        <v>35000</v>
      </c>
      <c r="H381" s="2" t="s">
        <v>19</v>
      </c>
      <c r="I381" s="2" t="s">
        <v>739</v>
      </c>
      <c r="J381" s="2">
        <v>1</v>
      </c>
      <c r="K381" s="2" t="s">
        <v>21</v>
      </c>
      <c r="L381" s="2" t="s">
        <v>22</v>
      </c>
      <c r="M381" s="2">
        <v>11</v>
      </c>
    </row>
    <row r="382" spans="1:13" x14ac:dyDescent="0.3">
      <c r="A382" s="4">
        <v>380</v>
      </c>
      <c r="B382" s="4" t="s">
        <v>767</v>
      </c>
      <c r="C382" s="4" t="s">
        <v>97</v>
      </c>
      <c r="D382" s="4" t="s">
        <v>90</v>
      </c>
      <c r="E382" s="4" t="s">
        <v>25</v>
      </c>
      <c r="F382" s="4" t="s">
        <v>113</v>
      </c>
      <c r="G382" s="5">
        <v>38000</v>
      </c>
      <c r="H382" s="4" t="s">
        <v>36</v>
      </c>
      <c r="I382" s="4" t="s">
        <v>739</v>
      </c>
      <c r="J382" s="4">
        <v>13</v>
      </c>
      <c r="K382" s="4" t="s">
        <v>27</v>
      </c>
      <c r="L382" s="4" t="s">
        <v>46</v>
      </c>
      <c r="M382" s="4">
        <v>3</v>
      </c>
    </row>
    <row r="383" spans="1:13" x14ac:dyDescent="0.3">
      <c r="A383" s="2">
        <v>381</v>
      </c>
      <c r="B383" s="2" t="s">
        <v>768</v>
      </c>
      <c r="C383" s="2" t="s">
        <v>235</v>
      </c>
      <c r="D383" s="2" t="s">
        <v>90</v>
      </c>
      <c r="E383" s="2" t="s">
        <v>17</v>
      </c>
      <c r="F383" s="2" t="s">
        <v>105</v>
      </c>
      <c r="G383" s="3">
        <v>30000</v>
      </c>
      <c r="H383" s="2" t="s">
        <v>36</v>
      </c>
      <c r="I383" s="2" t="s">
        <v>739</v>
      </c>
      <c r="J383" s="2">
        <v>5</v>
      </c>
      <c r="K383" s="2" t="s">
        <v>21</v>
      </c>
      <c r="L383" s="2" t="s">
        <v>22</v>
      </c>
      <c r="M383" s="2">
        <v>2</v>
      </c>
    </row>
    <row r="384" spans="1:13" x14ac:dyDescent="0.3">
      <c r="A384" s="4">
        <v>382</v>
      </c>
      <c r="B384" s="4" t="s">
        <v>769</v>
      </c>
      <c r="C384" s="4" t="s">
        <v>378</v>
      </c>
      <c r="D384" s="4" t="s">
        <v>49</v>
      </c>
      <c r="E384" s="4" t="s">
        <v>39</v>
      </c>
      <c r="F384" s="4" t="s">
        <v>108</v>
      </c>
      <c r="G384" s="5">
        <v>45000</v>
      </c>
      <c r="H384" s="4" t="s">
        <v>19</v>
      </c>
      <c r="I384" s="4" t="s">
        <v>739</v>
      </c>
      <c r="J384" s="4">
        <v>14</v>
      </c>
      <c r="K384" s="4" t="s">
        <v>21</v>
      </c>
      <c r="L384" s="4" t="s">
        <v>22</v>
      </c>
      <c r="M384" s="4">
        <v>0</v>
      </c>
    </row>
    <row r="385" spans="1:13" x14ac:dyDescent="0.3">
      <c r="A385" s="2">
        <v>383</v>
      </c>
      <c r="B385" s="2" t="s">
        <v>770</v>
      </c>
      <c r="C385" s="2" t="s">
        <v>771</v>
      </c>
      <c r="D385" s="2" t="s">
        <v>30</v>
      </c>
      <c r="E385" s="2" t="s">
        <v>17</v>
      </c>
      <c r="F385" s="2" t="s">
        <v>31</v>
      </c>
      <c r="G385" s="3">
        <v>29000</v>
      </c>
      <c r="H385" s="2" t="s">
        <v>19</v>
      </c>
      <c r="I385" s="2" t="s">
        <v>739</v>
      </c>
      <c r="J385" s="2">
        <v>9</v>
      </c>
      <c r="K385" s="2" t="s">
        <v>27</v>
      </c>
      <c r="L385" s="2" t="s">
        <v>57</v>
      </c>
      <c r="M385" s="2">
        <v>0</v>
      </c>
    </row>
    <row r="386" spans="1:13" x14ac:dyDescent="0.3">
      <c r="A386" s="4">
        <v>384</v>
      </c>
      <c r="B386" s="4" t="s">
        <v>772</v>
      </c>
      <c r="C386" s="4" t="s">
        <v>576</v>
      </c>
      <c r="D386" s="4" t="s">
        <v>54</v>
      </c>
      <c r="E386" s="4" t="s">
        <v>45</v>
      </c>
      <c r="F386" s="4" t="s">
        <v>247</v>
      </c>
      <c r="G386" s="5">
        <v>18000</v>
      </c>
      <c r="H386" s="4" t="s">
        <v>19</v>
      </c>
      <c r="I386" s="4" t="s">
        <v>739</v>
      </c>
      <c r="J386" s="4">
        <v>12</v>
      </c>
      <c r="K386" s="4" t="s">
        <v>27</v>
      </c>
      <c r="L386" s="4" t="s">
        <v>22</v>
      </c>
      <c r="M386" s="4">
        <v>9</v>
      </c>
    </row>
    <row r="387" spans="1:13" x14ac:dyDescent="0.3">
      <c r="A387" s="2">
        <v>385</v>
      </c>
      <c r="B387" s="2" t="s">
        <v>773</v>
      </c>
      <c r="C387" s="2" t="s">
        <v>774</v>
      </c>
      <c r="D387" s="2" t="s">
        <v>90</v>
      </c>
      <c r="E387" s="2" t="s">
        <v>55</v>
      </c>
      <c r="F387" s="2" t="s">
        <v>105</v>
      </c>
      <c r="G387" s="3">
        <v>47000</v>
      </c>
      <c r="H387" s="2" t="s">
        <v>19</v>
      </c>
      <c r="I387" s="2" t="s">
        <v>739</v>
      </c>
      <c r="J387" s="2">
        <v>12</v>
      </c>
      <c r="K387" s="2" t="s">
        <v>21</v>
      </c>
      <c r="L387" s="2" t="s">
        <v>46</v>
      </c>
      <c r="M387" s="2">
        <v>1</v>
      </c>
    </row>
    <row r="388" spans="1:13" x14ac:dyDescent="0.3">
      <c r="A388" s="4">
        <v>386</v>
      </c>
      <c r="B388" s="4" t="s">
        <v>775</v>
      </c>
      <c r="C388" s="4" t="s">
        <v>681</v>
      </c>
      <c r="D388" s="4" t="s">
        <v>90</v>
      </c>
      <c r="E388" s="4" t="s">
        <v>73</v>
      </c>
      <c r="F388" s="4" t="s">
        <v>105</v>
      </c>
      <c r="G388" s="5">
        <v>22000</v>
      </c>
      <c r="H388" s="4" t="s">
        <v>36</v>
      </c>
      <c r="I388" s="4" t="s">
        <v>739</v>
      </c>
      <c r="J388" s="4">
        <v>16</v>
      </c>
      <c r="K388" s="4" t="s">
        <v>21</v>
      </c>
      <c r="L388" s="4" t="s">
        <v>22</v>
      </c>
      <c r="M388" s="4">
        <v>8</v>
      </c>
    </row>
    <row r="389" spans="1:13" x14ac:dyDescent="0.3">
      <c r="A389" s="2">
        <v>387</v>
      </c>
      <c r="B389" s="2" t="s">
        <v>776</v>
      </c>
      <c r="C389" s="2" t="s">
        <v>777</v>
      </c>
      <c r="D389" s="2" t="s">
        <v>54</v>
      </c>
      <c r="E389" s="2" t="s">
        <v>73</v>
      </c>
      <c r="F389" s="2" t="s">
        <v>56</v>
      </c>
      <c r="G389" s="3">
        <v>64000</v>
      </c>
      <c r="H389" s="2" t="s">
        <v>36</v>
      </c>
      <c r="I389" s="2" t="s">
        <v>739</v>
      </c>
      <c r="J389" s="2">
        <v>3</v>
      </c>
      <c r="K389" s="2" t="s">
        <v>27</v>
      </c>
      <c r="L389" s="2" t="s">
        <v>46</v>
      </c>
      <c r="M389" s="2">
        <v>5</v>
      </c>
    </row>
    <row r="390" spans="1:13" x14ac:dyDescent="0.3">
      <c r="A390" s="4">
        <v>388</v>
      </c>
      <c r="B390" s="4" t="s">
        <v>778</v>
      </c>
      <c r="C390" s="4" t="s">
        <v>779</v>
      </c>
      <c r="D390" s="4" t="s">
        <v>49</v>
      </c>
      <c r="E390" s="4" t="s">
        <v>60</v>
      </c>
      <c r="F390" s="4" t="s">
        <v>51</v>
      </c>
      <c r="G390" s="5">
        <v>25000</v>
      </c>
      <c r="H390" s="4" t="s">
        <v>19</v>
      </c>
      <c r="I390" s="4" t="s">
        <v>739</v>
      </c>
      <c r="J390" s="4">
        <v>7</v>
      </c>
      <c r="K390" s="4" t="s">
        <v>27</v>
      </c>
      <c r="L390" s="4" t="s">
        <v>46</v>
      </c>
      <c r="M390" s="4">
        <v>3</v>
      </c>
    </row>
    <row r="391" spans="1:13" x14ac:dyDescent="0.3">
      <c r="A391" s="2">
        <v>389</v>
      </c>
      <c r="B391" s="2" t="s">
        <v>780</v>
      </c>
      <c r="C391" s="2" t="s">
        <v>89</v>
      </c>
      <c r="D391" s="2" t="s">
        <v>90</v>
      </c>
      <c r="E391" s="2" t="s">
        <v>73</v>
      </c>
      <c r="F391" s="2" t="s">
        <v>98</v>
      </c>
      <c r="G391" s="3">
        <v>36000</v>
      </c>
      <c r="H391" s="2" t="s">
        <v>36</v>
      </c>
      <c r="I391" s="2" t="s">
        <v>739</v>
      </c>
      <c r="J391" s="2">
        <v>10</v>
      </c>
      <c r="K391" s="2" t="s">
        <v>21</v>
      </c>
      <c r="L391" s="2" t="s">
        <v>22</v>
      </c>
      <c r="M391" s="2">
        <v>9</v>
      </c>
    </row>
    <row r="392" spans="1:13" x14ac:dyDescent="0.3">
      <c r="A392" s="4">
        <v>390</v>
      </c>
      <c r="B392" s="4" t="s">
        <v>781</v>
      </c>
      <c r="C392" s="4" t="s">
        <v>531</v>
      </c>
      <c r="D392" s="4" t="s">
        <v>54</v>
      </c>
      <c r="E392" s="4" t="s">
        <v>60</v>
      </c>
      <c r="F392" s="4" t="s">
        <v>200</v>
      </c>
      <c r="G392" s="5">
        <v>53000</v>
      </c>
      <c r="H392" s="4" t="s">
        <v>36</v>
      </c>
      <c r="I392" s="4" t="s">
        <v>739</v>
      </c>
      <c r="J392" s="4">
        <v>17</v>
      </c>
      <c r="K392" s="4" t="s">
        <v>27</v>
      </c>
      <c r="L392" s="4" t="s">
        <v>57</v>
      </c>
      <c r="M392" s="4">
        <v>11</v>
      </c>
    </row>
    <row r="393" spans="1:13" x14ac:dyDescent="0.3">
      <c r="A393" s="2">
        <v>391</v>
      </c>
      <c r="B393" s="2" t="s">
        <v>782</v>
      </c>
      <c r="C393" s="2" t="s">
        <v>783</v>
      </c>
      <c r="D393" s="2" t="s">
        <v>54</v>
      </c>
      <c r="E393" s="2" t="s">
        <v>60</v>
      </c>
      <c r="F393" s="2" t="s">
        <v>56</v>
      </c>
      <c r="G393" s="3">
        <v>46000</v>
      </c>
      <c r="H393" s="2" t="s">
        <v>32</v>
      </c>
      <c r="I393" s="2" t="s">
        <v>739</v>
      </c>
      <c r="J393" s="2">
        <v>5</v>
      </c>
      <c r="K393" s="2" t="s">
        <v>27</v>
      </c>
      <c r="L393" s="2" t="s">
        <v>46</v>
      </c>
      <c r="M393" s="2">
        <v>0</v>
      </c>
    </row>
    <row r="394" spans="1:13" x14ac:dyDescent="0.3">
      <c r="A394" s="4">
        <v>392</v>
      </c>
      <c r="B394" s="4" t="s">
        <v>784</v>
      </c>
      <c r="C394" s="4" t="s">
        <v>785</v>
      </c>
      <c r="D394" s="4" t="s">
        <v>54</v>
      </c>
      <c r="E394" s="4" t="s">
        <v>50</v>
      </c>
      <c r="F394" s="4" t="s">
        <v>158</v>
      </c>
      <c r="G394" s="5">
        <v>19000</v>
      </c>
      <c r="H394" s="4" t="s">
        <v>36</v>
      </c>
      <c r="I394" s="4" t="s">
        <v>739</v>
      </c>
      <c r="J394" s="4">
        <v>3</v>
      </c>
      <c r="K394" s="4" t="s">
        <v>21</v>
      </c>
      <c r="L394" s="4" t="s">
        <v>57</v>
      </c>
      <c r="M394" s="4">
        <v>4</v>
      </c>
    </row>
    <row r="395" spans="1:13" x14ac:dyDescent="0.3">
      <c r="A395" s="2">
        <v>393</v>
      </c>
      <c r="B395" s="2" t="s">
        <v>786</v>
      </c>
      <c r="C395" s="2" t="s">
        <v>95</v>
      </c>
      <c r="D395" s="2" t="s">
        <v>59</v>
      </c>
      <c r="E395" s="2" t="s">
        <v>50</v>
      </c>
      <c r="F395" s="2" t="s">
        <v>80</v>
      </c>
      <c r="G395" s="3">
        <v>35000</v>
      </c>
      <c r="H395" s="2" t="s">
        <v>26</v>
      </c>
      <c r="I395" s="2" t="s">
        <v>739</v>
      </c>
      <c r="J395" s="2">
        <v>2</v>
      </c>
      <c r="K395" s="2" t="s">
        <v>27</v>
      </c>
      <c r="L395" s="2" t="s">
        <v>57</v>
      </c>
      <c r="M395" s="2">
        <v>12</v>
      </c>
    </row>
    <row r="396" spans="1:13" x14ac:dyDescent="0.3">
      <c r="A396" s="4">
        <v>394</v>
      </c>
      <c r="B396" s="4" t="s">
        <v>787</v>
      </c>
      <c r="C396" s="4" t="s">
        <v>444</v>
      </c>
      <c r="D396" s="4" t="s">
        <v>66</v>
      </c>
      <c r="E396" s="4" t="s">
        <v>17</v>
      </c>
      <c r="F396" s="4" t="s">
        <v>67</v>
      </c>
      <c r="G396" s="5">
        <v>90000</v>
      </c>
      <c r="H396" s="4" t="s">
        <v>36</v>
      </c>
      <c r="I396" s="4" t="s">
        <v>739</v>
      </c>
      <c r="J396" s="4">
        <v>11</v>
      </c>
      <c r="K396" s="4" t="s">
        <v>21</v>
      </c>
      <c r="L396" s="4" t="s">
        <v>46</v>
      </c>
      <c r="M396" s="4">
        <v>6</v>
      </c>
    </row>
    <row r="397" spans="1:13" x14ac:dyDescent="0.3">
      <c r="A397" s="2">
        <v>395</v>
      </c>
      <c r="B397" s="2" t="s">
        <v>788</v>
      </c>
      <c r="C397" s="2" t="s">
        <v>514</v>
      </c>
      <c r="D397" s="2" t="s">
        <v>30</v>
      </c>
      <c r="E397" s="2" t="s">
        <v>17</v>
      </c>
      <c r="F397" s="2" t="s">
        <v>118</v>
      </c>
      <c r="G397" s="3">
        <v>38000</v>
      </c>
      <c r="H397" s="2" t="s">
        <v>26</v>
      </c>
      <c r="I397" s="2" t="s">
        <v>739</v>
      </c>
      <c r="J397" s="2">
        <v>6</v>
      </c>
      <c r="K397" s="2" t="s">
        <v>27</v>
      </c>
      <c r="L397" s="2" t="s">
        <v>22</v>
      </c>
      <c r="M397" s="2">
        <v>3</v>
      </c>
    </row>
    <row r="398" spans="1:13" x14ac:dyDescent="0.3">
      <c r="A398" s="4">
        <v>396</v>
      </c>
      <c r="B398" s="4" t="s">
        <v>789</v>
      </c>
      <c r="C398" s="4" t="s">
        <v>368</v>
      </c>
      <c r="D398" s="4" t="s">
        <v>101</v>
      </c>
      <c r="E398" s="4" t="s">
        <v>73</v>
      </c>
      <c r="F398" s="4" t="s">
        <v>147</v>
      </c>
      <c r="G398" s="5">
        <v>62000</v>
      </c>
      <c r="H398" s="4" t="s">
        <v>26</v>
      </c>
      <c r="I398" s="4" t="s">
        <v>739</v>
      </c>
      <c r="J398" s="4">
        <v>8</v>
      </c>
      <c r="K398" s="4" t="s">
        <v>21</v>
      </c>
      <c r="L398" s="4" t="s">
        <v>57</v>
      </c>
      <c r="M398" s="4">
        <v>11</v>
      </c>
    </row>
    <row r="399" spans="1:13" x14ac:dyDescent="0.3">
      <c r="A399" s="2">
        <v>397</v>
      </c>
      <c r="B399" s="2" t="s">
        <v>790</v>
      </c>
      <c r="C399" s="2" t="s">
        <v>791</v>
      </c>
      <c r="D399" s="2" t="s">
        <v>54</v>
      </c>
      <c r="E399" s="2" t="s">
        <v>73</v>
      </c>
      <c r="F399" s="2" t="s">
        <v>200</v>
      </c>
      <c r="G399" s="3">
        <v>69000</v>
      </c>
      <c r="H399" s="2" t="s">
        <v>161</v>
      </c>
      <c r="I399" s="2" t="s">
        <v>739</v>
      </c>
      <c r="J399" s="2">
        <v>14</v>
      </c>
      <c r="K399" s="2" t="s">
        <v>21</v>
      </c>
      <c r="L399" s="2" t="s">
        <v>22</v>
      </c>
      <c r="M399" s="2">
        <v>2</v>
      </c>
    </row>
    <row r="400" spans="1:13" x14ac:dyDescent="0.3">
      <c r="A400" s="4">
        <v>398</v>
      </c>
      <c r="B400" s="4" t="s">
        <v>792</v>
      </c>
      <c r="C400" s="4" t="s">
        <v>178</v>
      </c>
      <c r="D400" s="4" t="s">
        <v>101</v>
      </c>
      <c r="E400" s="4" t="s">
        <v>25</v>
      </c>
      <c r="F400" s="4" t="s">
        <v>147</v>
      </c>
      <c r="G400" s="5">
        <v>44000</v>
      </c>
      <c r="H400" s="4" t="s">
        <v>32</v>
      </c>
      <c r="I400" s="4" t="s">
        <v>739</v>
      </c>
      <c r="J400" s="4">
        <v>4</v>
      </c>
      <c r="K400" s="4" t="s">
        <v>27</v>
      </c>
      <c r="L400" s="4" t="s">
        <v>22</v>
      </c>
      <c r="M400" s="4">
        <v>11</v>
      </c>
    </row>
    <row r="401" spans="1:13" x14ac:dyDescent="0.3">
      <c r="A401" s="2">
        <v>399</v>
      </c>
      <c r="B401" s="2" t="s">
        <v>793</v>
      </c>
      <c r="C401" s="2" t="s">
        <v>191</v>
      </c>
      <c r="D401" s="2" t="s">
        <v>66</v>
      </c>
      <c r="E401" s="2" t="s">
        <v>25</v>
      </c>
      <c r="F401" s="2" t="s">
        <v>279</v>
      </c>
      <c r="G401" s="3">
        <v>106000</v>
      </c>
      <c r="H401" s="2" t="s">
        <v>19</v>
      </c>
      <c r="I401" s="2" t="s">
        <v>739</v>
      </c>
      <c r="J401" s="2">
        <v>17</v>
      </c>
      <c r="K401" s="2" t="s">
        <v>27</v>
      </c>
      <c r="L401" s="2" t="s">
        <v>22</v>
      </c>
      <c r="M401" s="2">
        <v>6</v>
      </c>
    </row>
    <row r="402" spans="1:13" x14ac:dyDescent="0.3">
      <c r="A402" s="4">
        <v>400</v>
      </c>
      <c r="B402" s="4" t="s">
        <v>794</v>
      </c>
      <c r="C402" s="4" t="s">
        <v>795</v>
      </c>
      <c r="D402" s="4" t="s">
        <v>101</v>
      </c>
      <c r="E402" s="4" t="s">
        <v>60</v>
      </c>
      <c r="F402" s="4" t="s">
        <v>147</v>
      </c>
      <c r="G402" s="5">
        <v>113000</v>
      </c>
      <c r="H402" s="4" t="s">
        <v>19</v>
      </c>
      <c r="I402" s="4" t="s">
        <v>739</v>
      </c>
      <c r="J402" s="4">
        <v>1</v>
      </c>
      <c r="K402" s="4" t="s">
        <v>21</v>
      </c>
      <c r="L402" s="4" t="s">
        <v>22</v>
      </c>
      <c r="M402" s="4">
        <v>7</v>
      </c>
    </row>
    <row r="403" spans="1:13" x14ac:dyDescent="0.3">
      <c r="A403" s="2">
        <v>401</v>
      </c>
      <c r="B403" s="2" t="s">
        <v>796</v>
      </c>
      <c r="C403" s="2" t="s">
        <v>797</v>
      </c>
      <c r="D403" s="2" t="s">
        <v>54</v>
      </c>
      <c r="E403" s="2" t="s">
        <v>45</v>
      </c>
      <c r="F403" s="2" t="s">
        <v>158</v>
      </c>
      <c r="G403" s="3">
        <v>34000</v>
      </c>
      <c r="H403" s="2" t="s">
        <v>19</v>
      </c>
      <c r="I403" s="2" t="s">
        <v>739</v>
      </c>
      <c r="J403" s="2">
        <v>18</v>
      </c>
      <c r="K403" s="2" t="s">
        <v>21</v>
      </c>
      <c r="L403" s="2" t="s">
        <v>46</v>
      </c>
      <c r="M403" s="2">
        <v>9</v>
      </c>
    </row>
    <row r="404" spans="1:13" x14ac:dyDescent="0.3">
      <c r="A404" s="4">
        <v>402</v>
      </c>
      <c r="B404" s="4" t="s">
        <v>798</v>
      </c>
      <c r="C404" s="4" t="s">
        <v>799</v>
      </c>
      <c r="D404" s="4" t="s">
        <v>66</v>
      </c>
      <c r="E404" s="4" t="s">
        <v>50</v>
      </c>
      <c r="F404" s="4" t="s">
        <v>67</v>
      </c>
      <c r="G404" s="5">
        <v>42000</v>
      </c>
      <c r="H404" s="4" t="s">
        <v>32</v>
      </c>
      <c r="I404" s="4" t="s">
        <v>739</v>
      </c>
      <c r="J404" s="4">
        <v>13</v>
      </c>
      <c r="K404" s="4" t="s">
        <v>21</v>
      </c>
      <c r="L404" s="4" t="s">
        <v>22</v>
      </c>
      <c r="M404" s="4">
        <v>4</v>
      </c>
    </row>
    <row r="405" spans="1:13" x14ac:dyDescent="0.3">
      <c r="A405" s="2">
        <v>403</v>
      </c>
      <c r="B405" s="2" t="s">
        <v>800</v>
      </c>
      <c r="C405" s="2" t="s">
        <v>801</v>
      </c>
      <c r="D405" s="2" t="s">
        <v>66</v>
      </c>
      <c r="E405" s="2" t="s">
        <v>39</v>
      </c>
      <c r="F405" s="2" t="s">
        <v>121</v>
      </c>
      <c r="G405" s="3">
        <v>43000</v>
      </c>
      <c r="H405" s="2" t="s">
        <v>32</v>
      </c>
      <c r="I405" s="2" t="s">
        <v>739</v>
      </c>
      <c r="J405" s="2">
        <v>3</v>
      </c>
      <c r="K405" s="2" t="s">
        <v>27</v>
      </c>
      <c r="L405" s="2" t="s">
        <v>22</v>
      </c>
      <c r="M405" s="2">
        <v>2</v>
      </c>
    </row>
    <row r="406" spans="1:13" x14ac:dyDescent="0.3">
      <c r="A406" s="4">
        <v>404</v>
      </c>
      <c r="B406" s="4" t="s">
        <v>802</v>
      </c>
      <c r="C406" s="4" t="s">
        <v>258</v>
      </c>
      <c r="D406" s="4" t="s">
        <v>66</v>
      </c>
      <c r="E406" s="4" t="s">
        <v>73</v>
      </c>
      <c r="F406" s="4" t="s">
        <v>121</v>
      </c>
      <c r="G406" s="5">
        <v>54000</v>
      </c>
      <c r="H406" s="4" t="s">
        <v>26</v>
      </c>
      <c r="I406" s="4" t="s">
        <v>739</v>
      </c>
      <c r="J406" s="4">
        <v>6</v>
      </c>
      <c r="K406" s="4" t="s">
        <v>21</v>
      </c>
      <c r="L406" s="4" t="s">
        <v>22</v>
      </c>
      <c r="M406" s="4">
        <v>7</v>
      </c>
    </row>
    <row r="407" spans="1:13" x14ac:dyDescent="0.3">
      <c r="A407" s="2">
        <v>405</v>
      </c>
      <c r="B407" s="2" t="s">
        <v>803</v>
      </c>
      <c r="C407" s="2" t="s">
        <v>641</v>
      </c>
      <c r="D407" s="2" t="s">
        <v>90</v>
      </c>
      <c r="E407" s="2" t="s">
        <v>25</v>
      </c>
      <c r="F407" s="2" t="s">
        <v>91</v>
      </c>
      <c r="G407" s="3">
        <v>19000</v>
      </c>
      <c r="H407" s="2" t="s">
        <v>32</v>
      </c>
      <c r="I407" s="2" t="s">
        <v>739</v>
      </c>
      <c r="J407" s="2">
        <v>8</v>
      </c>
      <c r="K407" s="2" t="s">
        <v>21</v>
      </c>
      <c r="L407" s="2" t="s">
        <v>22</v>
      </c>
      <c r="M407" s="2">
        <v>6</v>
      </c>
    </row>
    <row r="408" spans="1:13" x14ac:dyDescent="0.3">
      <c r="A408" s="4">
        <v>406</v>
      </c>
      <c r="B408" s="4" t="s">
        <v>804</v>
      </c>
      <c r="C408" s="4" t="s">
        <v>805</v>
      </c>
      <c r="D408" s="4" t="s">
        <v>59</v>
      </c>
      <c r="E408" s="4" t="s">
        <v>50</v>
      </c>
      <c r="F408" s="4" t="s">
        <v>319</v>
      </c>
      <c r="G408" s="5">
        <v>54000</v>
      </c>
      <c r="H408" s="4" t="s">
        <v>36</v>
      </c>
      <c r="I408" s="4" t="s">
        <v>806</v>
      </c>
      <c r="J408" s="4">
        <v>6</v>
      </c>
      <c r="K408" s="4" t="s">
        <v>27</v>
      </c>
      <c r="L408" s="4" t="s">
        <v>22</v>
      </c>
      <c r="M408" s="4">
        <v>0</v>
      </c>
    </row>
    <row r="409" spans="1:13" x14ac:dyDescent="0.3">
      <c r="A409" s="2">
        <v>407</v>
      </c>
      <c r="B409" s="2" t="s">
        <v>807</v>
      </c>
      <c r="C409" s="2" t="s">
        <v>808</v>
      </c>
      <c r="D409" s="2" t="s">
        <v>90</v>
      </c>
      <c r="E409" s="2" t="s">
        <v>50</v>
      </c>
      <c r="F409" s="2" t="s">
        <v>91</v>
      </c>
      <c r="G409" s="3">
        <v>19000</v>
      </c>
      <c r="H409" s="2" t="s">
        <v>32</v>
      </c>
      <c r="I409" s="2" t="s">
        <v>806</v>
      </c>
      <c r="J409" s="2">
        <v>13</v>
      </c>
      <c r="K409" s="2" t="s">
        <v>21</v>
      </c>
      <c r="L409" s="2" t="s">
        <v>22</v>
      </c>
      <c r="M409" s="2">
        <v>8</v>
      </c>
    </row>
    <row r="410" spans="1:13" x14ac:dyDescent="0.3">
      <c r="A410" s="4">
        <v>408</v>
      </c>
      <c r="B410" s="4" t="s">
        <v>809</v>
      </c>
      <c r="C410" s="4" t="s">
        <v>735</v>
      </c>
      <c r="D410" s="4" t="s">
        <v>66</v>
      </c>
      <c r="E410" s="4" t="s">
        <v>60</v>
      </c>
      <c r="F410" s="4" t="s">
        <v>67</v>
      </c>
      <c r="G410" s="5">
        <v>46000</v>
      </c>
      <c r="H410" s="4" t="s">
        <v>19</v>
      </c>
      <c r="I410" s="4" t="s">
        <v>806</v>
      </c>
      <c r="J410" s="4">
        <v>9</v>
      </c>
      <c r="K410" s="4" t="s">
        <v>21</v>
      </c>
      <c r="L410" s="4" t="s">
        <v>22</v>
      </c>
      <c r="M410" s="4">
        <v>0</v>
      </c>
    </row>
    <row r="411" spans="1:13" x14ac:dyDescent="0.3">
      <c r="A411" s="2">
        <v>409</v>
      </c>
      <c r="B411" s="2" t="s">
        <v>810</v>
      </c>
      <c r="C411" s="2" t="s">
        <v>811</v>
      </c>
      <c r="D411" s="2" t="s">
        <v>90</v>
      </c>
      <c r="E411" s="2" t="s">
        <v>45</v>
      </c>
      <c r="F411" s="2" t="s">
        <v>105</v>
      </c>
      <c r="G411" s="3">
        <v>32000</v>
      </c>
      <c r="H411" s="2" t="s">
        <v>32</v>
      </c>
      <c r="I411" s="2" t="s">
        <v>806</v>
      </c>
      <c r="J411" s="2">
        <v>9</v>
      </c>
      <c r="K411" s="2" t="s">
        <v>27</v>
      </c>
      <c r="L411" s="2" t="s">
        <v>22</v>
      </c>
      <c r="M411" s="2">
        <v>5</v>
      </c>
    </row>
    <row r="412" spans="1:13" x14ac:dyDescent="0.3">
      <c r="A412" s="4">
        <v>410</v>
      </c>
      <c r="B412" s="4" t="s">
        <v>812</v>
      </c>
      <c r="C412" s="4" t="s">
        <v>813</v>
      </c>
      <c r="D412" s="4" t="s">
        <v>16</v>
      </c>
      <c r="E412" s="4" t="s">
        <v>39</v>
      </c>
      <c r="F412" s="4" t="s">
        <v>42</v>
      </c>
      <c r="G412" s="5">
        <v>95000</v>
      </c>
      <c r="H412" s="4" t="s">
        <v>26</v>
      </c>
      <c r="I412" s="4" t="s">
        <v>806</v>
      </c>
      <c r="J412" s="4">
        <v>18</v>
      </c>
      <c r="K412" s="4" t="s">
        <v>21</v>
      </c>
      <c r="L412" s="4" t="s">
        <v>22</v>
      </c>
      <c r="M412" s="4">
        <v>9</v>
      </c>
    </row>
    <row r="413" spans="1:13" x14ac:dyDescent="0.3">
      <c r="A413" s="2">
        <v>411</v>
      </c>
      <c r="B413" s="2" t="s">
        <v>814</v>
      </c>
      <c r="C413" s="2" t="s">
        <v>815</v>
      </c>
      <c r="D413" s="2" t="s">
        <v>59</v>
      </c>
      <c r="E413" s="2" t="s">
        <v>55</v>
      </c>
      <c r="F413" s="2" t="s">
        <v>61</v>
      </c>
      <c r="G413" s="3">
        <v>26000</v>
      </c>
      <c r="H413" s="2" t="s">
        <v>26</v>
      </c>
      <c r="I413" s="2" t="s">
        <v>806</v>
      </c>
      <c r="J413" s="2">
        <v>12</v>
      </c>
      <c r="K413" s="2" t="s">
        <v>21</v>
      </c>
      <c r="L413" s="2" t="s">
        <v>22</v>
      </c>
      <c r="M413" s="2">
        <v>3</v>
      </c>
    </row>
    <row r="414" spans="1:13" x14ac:dyDescent="0.3">
      <c r="A414" s="4">
        <v>412</v>
      </c>
      <c r="B414" s="4" t="s">
        <v>816</v>
      </c>
      <c r="C414" s="4" t="s">
        <v>224</v>
      </c>
      <c r="D414" s="4" t="s">
        <v>59</v>
      </c>
      <c r="E414" s="4" t="s">
        <v>25</v>
      </c>
      <c r="F414" s="4" t="s">
        <v>319</v>
      </c>
      <c r="G414" s="5">
        <v>32000</v>
      </c>
      <c r="H414" s="4" t="s">
        <v>36</v>
      </c>
      <c r="I414" s="4" t="s">
        <v>806</v>
      </c>
      <c r="J414" s="4">
        <v>18</v>
      </c>
      <c r="K414" s="4" t="s">
        <v>21</v>
      </c>
      <c r="L414" s="4" t="s">
        <v>46</v>
      </c>
      <c r="M414" s="4">
        <v>3</v>
      </c>
    </row>
    <row r="415" spans="1:13" x14ac:dyDescent="0.3">
      <c r="A415" s="2">
        <v>413</v>
      </c>
      <c r="B415" s="2" t="s">
        <v>817</v>
      </c>
      <c r="C415" s="2" t="s">
        <v>818</v>
      </c>
      <c r="D415" s="2" t="s">
        <v>30</v>
      </c>
      <c r="E415" s="2" t="s">
        <v>45</v>
      </c>
      <c r="F415" s="2" t="s">
        <v>35</v>
      </c>
      <c r="G415" s="3">
        <v>29000</v>
      </c>
      <c r="H415" s="2" t="s">
        <v>36</v>
      </c>
      <c r="I415" s="2" t="s">
        <v>806</v>
      </c>
      <c r="J415" s="2">
        <v>1</v>
      </c>
      <c r="K415" s="2" t="s">
        <v>21</v>
      </c>
      <c r="L415" s="2" t="s">
        <v>22</v>
      </c>
      <c r="M415" s="2">
        <v>1</v>
      </c>
    </row>
    <row r="416" spans="1:13" x14ac:dyDescent="0.3">
      <c r="A416" s="4">
        <v>414</v>
      </c>
      <c r="B416" s="4" t="s">
        <v>819</v>
      </c>
      <c r="C416" s="4" t="s">
        <v>820</v>
      </c>
      <c r="D416" s="4" t="s">
        <v>16</v>
      </c>
      <c r="E416" s="4" t="s">
        <v>39</v>
      </c>
      <c r="F416" s="4" t="s">
        <v>42</v>
      </c>
      <c r="G416" s="5">
        <v>96000</v>
      </c>
      <c r="H416" s="4" t="s">
        <v>19</v>
      </c>
      <c r="I416" s="4" t="s">
        <v>806</v>
      </c>
      <c r="J416" s="4">
        <v>8</v>
      </c>
      <c r="K416" s="4" t="s">
        <v>21</v>
      </c>
      <c r="L416" s="4" t="s">
        <v>22</v>
      </c>
      <c r="M416" s="4">
        <v>2</v>
      </c>
    </row>
    <row r="417" spans="1:13" x14ac:dyDescent="0.3">
      <c r="A417" s="2">
        <v>415</v>
      </c>
      <c r="B417" s="2" t="s">
        <v>821</v>
      </c>
      <c r="C417" s="2" t="s">
        <v>600</v>
      </c>
      <c r="D417" s="2" t="s">
        <v>16</v>
      </c>
      <c r="E417" s="2" t="s">
        <v>45</v>
      </c>
      <c r="F417" s="2" t="s">
        <v>266</v>
      </c>
      <c r="G417" s="3">
        <v>61000</v>
      </c>
      <c r="H417" s="2" t="s">
        <v>19</v>
      </c>
      <c r="I417" s="2" t="s">
        <v>806</v>
      </c>
      <c r="J417" s="2">
        <v>0</v>
      </c>
      <c r="K417" s="2" t="s">
        <v>27</v>
      </c>
      <c r="L417" s="2" t="s">
        <v>22</v>
      </c>
      <c r="M417" s="2">
        <v>6</v>
      </c>
    </row>
    <row r="418" spans="1:13" x14ac:dyDescent="0.3">
      <c r="A418" s="4">
        <v>416</v>
      </c>
      <c r="B418" s="4" t="s">
        <v>822</v>
      </c>
      <c r="C418" s="4" t="s">
        <v>820</v>
      </c>
      <c r="D418" s="4" t="s">
        <v>54</v>
      </c>
      <c r="E418" s="4" t="s">
        <v>39</v>
      </c>
      <c r="F418" s="4" t="s">
        <v>158</v>
      </c>
      <c r="G418" s="5">
        <v>51000</v>
      </c>
      <c r="H418" s="4" t="s">
        <v>32</v>
      </c>
      <c r="I418" s="4" t="s">
        <v>806</v>
      </c>
      <c r="J418" s="4">
        <v>9</v>
      </c>
      <c r="K418" s="4" t="s">
        <v>21</v>
      </c>
      <c r="L418" s="4" t="s">
        <v>46</v>
      </c>
      <c r="M418" s="4">
        <v>10</v>
      </c>
    </row>
    <row r="419" spans="1:13" x14ac:dyDescent="0.3">
      <c r="A419" s="2">
        <v>417</v>
      </c>
      <c r="B419" s="2" t="s">
        <v>823</v>
      </c>
      <c r="C419" s="2" t="s">
        <v>691</v>
      </c>
      <c r="D419" s="2" t="s">
        <v>54</v>
      </c>
      <c r="E419" s="2" t="s">
        <v>55</v>
      </c>
      <c r="F419" s="2" t="s">
        <v>56</v>
      </c>
      <c r="G419" s="3">
        <v>66000</v>
      </c>
      <c r="H419" s="2" t="s">
        <v>19</v>
      </c>
      <c r="I419" s="2" t="s">
        <v>806</v>
      </c>
      <c r="J419" s="2">
        <v>8</v>
      </c>
      <c r="K419" s="2" t="s">
        <v>27</v>
      </c>
      <c r="L419" s="2" t="s">
        <v>57</v>
      </c>
      <c r="M419" s="2">
        <v>0</v>
      </c>
    </row>
    <row r="420" spans="1:13" x14ac:dyDescent="0.3">
      <c r="A420" s="4">
        <v>418</v>
      </c>
      <c r="B420" s="4" t="s">
        <v>824</v>
      </c>
      <c r="C420" s="4" t="s">
        <v>246</v>
      </c>
      <c r="D420" s="4" t="s">
        <v>59</v>
      </c>
      <c r="E420" s="4" t="s">
        <v>60</v>
      </c>
      <c r="F420" s="4" t="s">
        <v>85</v>
      </c>
      <c r="G420" s="5">
        <v>43000</v>
      </c>
      <c r="H420" s="4" t="s">
        <v>36</v>
      </c>
      <c r="I420" s="4" t="s">
        <v>806</v>
      </c>
      <c r="J420" s="4">
        <v>5</v>
      </c>
      <c r="K420" s="4" t="s">
        <v>27</v>
      </c>
      <c r="L420" s="4" t="s">
        <v>22</v>
      </c>
      <c r="M420" s="4">
        <v>9</v>
      </c>
    </row>
    <row r="421" spans="1:13" x14ac:dyDescent="0.3">
      <c r="A421" s="2">
        <v>419</v>
      </c>
      <c r="B421" s="2" t="s">
        <v>825</v>
      </c>
      <c r="C421" s="2" t="s">
        <v>826</v>
      </c>
      <c r="D421" s="2" t="s">
        <v>66</v>
      </c>
      <c r="E421" s="2" t="s">
        <v>73</v>
      </c>
      <c r="F421" s="2" t="s">
        <v>279</v>
      </c>
      <c r="G421" s="3">
        <v>94000</v>
      </c>
      <c r="H421" s="2" t="s">
        <v>161</v>
      </c>
      <c r="I421" s="2" t="s">
        <v>806</v>
      </c>
      <c r="J421" s="2">
        <v>0</v>
      </c>
      <c r="K421" s="2" t="s">
        <v>27</v>
      </c>
      <c r="L421" s="2" t="s">
        <v>22</v>
      </c>
      <c r="M421" s="2">
        <v>9</v>
      </c>
    </row>
    <row r="422" spans="1:13" x14ac:dyDescent="0.3">
      <c r="A422" s="4">
        <v>420</v>
      </c>
      <c r="B422" s="4" t="s">
        <v>827</v>
      </c>
      <c r="C422" s="4" t="s">
        <v>321</v>
      </c>
      <c r="D422" s="4" t="s">
        <v>66</v>
      </c>
      <c r="E422" s="4" t="s">
        <v>39</v>
      </c>
      <c r="F422" s="4" t="s">
        <v>67</v>
      </c>
      <c r="G422" s="5">
        <v>107000</v>
      </c>
      <c r="H422" s="4" t="s">
        <v>19</v>
      </c>
      <c r="I422" s="4" t="s">
        <v>806</v>
      </c>
      <c r="J422" s="4">
        <v>1</v>
      </c>
      <c r="K422" s="4" t="s">
        <v>21</v>
      </c>
      <c r="L422" s="4" t="s">
        <v>22</v>
      </c>
      <c r="M422" s="4">
        <v>4</v>
      </c>
    </row>
    <row r="423" spans="1:13" x14ac:dyDescent="0.3">
      <c r="A423" s="2">
        <v>421</v>
      </c>
      <c r="B423" s="2" t="s">
        <v>828</v>
      </c>
      <c r="C423" s="2" t="s">
        <v>829</v>
      </c>
      <c r="D423" s="2" t="s">
        <v>16</v>
      </c>
      <c r="E423" s="2" t="s">
        <v>39</v>
      </c>
      <c r="F423" s="2" t="s">
        <v>42</v>
      </c>
      <c r="G423" s="3">
        <v>45000</v>
      </c>
      <c r="H423" s="2" t="s">
        <v>36</v>
      </c>
      <c r="I423" s="2" t="s">
        <v>806</v>
      </c>
      <c r="J423" s="2">
        <v>1</v>
      </c>
      <c r="K423" s="2" t="s">
        <v>27</v>
      </c>
      <c r="L423" s="2" t="s">
        <v>46</v>
      </c>
      <c r="M423" s="2">
        <v>2</v>
      </c>
    </row>
    <row r="424" spans="1:13" x14ac:dyDescent="0.3">
      <c r="A424" s="4">
        <v>422</v>
      </c>
      <c r="B424" s="4" t="s">
        <v>830</v>
      </c>
      <c r="C424" s="4" t="s">
        <v>831</v>
      </c>
      <c r="D424" s="4" t="s">
        <v>59</v>
      </c>
      <c r="E424" s="4" t="s">
        <v>73</v>
      </c>
      <c r="F424" s="4" t="s">
        <v>61</v>
      </c>
      <c r="G424" s="5">
        <v>76000</v>
      </c>
      <c r="H424" s="4" t="s">
        <v>19</v>
      </c>
      <c r="I424" s="4" t="s">
        <v>806</v>
      </c>
      <c r="J424" s="4">
        <v>14</v>
      </c>
      <c r="K424" s="4" t="s">
        <v>27</v>
      </c>
      <c r="L424" s="4" t="s">
        <v>22</v>
      </c>
      <c r="M424" s="4">
        <v>1</v>
      </c>
    </row>
    <row r="425" spans="1:13" x14ac:dyDescent="0.3">
      <c r="A425" s="2">
        <v>423</v>
      </c>
      <c r="B425" s="2" t="s">
        <v>832</v>
      </c>
      <c r="C425" s="2" t="s">
        <v>833</v>
      </c>
      <c r="D425" s="2" t="s">
        <v>59</v>
      </c>
      <c r="E425" s="2" t="s">
        <v>50</v>
      </c>
      <c r="F425" s="2" t="s">
        <v>80</v>
      </c>
      <c r="G425" s="3">
        <v>35000</v>
      </c>
      <c r="H425" s="2" t="s">
        <v>19</v>
      </c>
      <c r="I425" s="2" t="s">
        <v>806</v>
      </c>
      <c r="J425" s="2">
        <v>9</v>
      </c>
      <c r="K425" s="2" t="s">
        <v>27</v>
      </c>
      <c r="L425" s="2" t="s">
        <v>57</v>
      </c>
      <c r="M425" s="2">
        <v>1</v>
      </c>
    </row>
    <row r="426" spans="1:13" x14ac:dyDescent="0.3">
      <c r="A426" s="4">
        <v>424</v>
      </c>
      <c r="B426" s="4" t="s">
        <v>834</v>
      </c>
      <c r="C426" s="4" t="s">
        <v>65</v>
      </c>
      <c r="D426" s="4" t="s">
        <v>54</v>
      </c>
      <c r="E426" s="4" t="s">
        <v>50</v>
      </c>
      <c r="F426" s="4" t="s">
        <v>247</v>
      </c>
      <c r="G426" s="5">
        <v>53000</v>
      </c>
      <c r="H426" s="4" t="s">
        <v>19</v>
      </c>
      <c r="I426" s="4" t="s">
        <v>806</v>
      </c>
      <c r="J426" s="4">
        <v>4</v>
      </c>
      <c r="K426" s="4" t="s">
        <v>27</v>
      </c>
      <c r="L426" s="4" t="s">
        <v>22</v>
      </c>
      <c r="M426" s="4">
        <v>0</v>
      </c>
    </row>
    <row r="427" spans="1:13" x14ac:dyDescent="0.3">
      <c r="A427" s="2">
        <v>425</v>
      </c>
      <c r="B427" s="2" t="s">
        <v>835</v>
      </c>
      <c r="C427" s="2" t="s">
        <v>836</v>
      </c>
      <c r="D427" s="2" t="s">
        <v>54</v>
      </c>
      <c r="E427" s="2" t="s">
        <v>45</v>
      </c>
      <c r="F427" s="2" t="s">
        <v>158</v>
      </c>
      <c r="G427" s="3">
        <v>73000</v>
      </c>
      <c r="H427" s="2" t="s">
        <v>19</v>
      </c>
      <c r="I427" s="2" t="s">
        <v>806</v>
      </c>
      <c r="J427" s="2">
        <v>16</v>
      </c>
      <c r="K427" s="2" t="s">
        <v>21</v>
      </c>
      <c r="L427" s="2" t="s">
        <v>22</v>
      </c>
      <c r="M427" s="2">
        <v>11</v>
      </c>
    </row>
    <row r="428" spans="1:13" x14ac:dyDescent="0.3">
      <c r="A428" s="4">
        <v>426</v>
      </c>
      <c r="B428" s="4" t="s">
        <v>837</v>
      </c>
      <c r="C428" s="4" t="s">
        <v>838</v>
      </c>
      <c r="D428" s="4" t="s">
        <v>66</v>
      </c>
      <c r="E428" s="4" t="s">
        <v>73</v>
      </c>
      <c r="F428" s="4" t="s">
        <v>153</v>
      </c>
      <c r="G428" s="5">
        <v>88000</v>
      </c>
      <c r="H428" s="4" t="s">
        <v>36</v>
      </c>
      <c r="I428" s="4" t="s">
        <v>806</v>
      </c>
      <c r="J428" s="4">
        <v>14</v>
      </c>
      <c r="K428" s="4" t="s">
        <v>21</v>
      </c>
      <c r="L428" s="4" t="s">
        <v>57</v>
      </c>
      <c r="M428" s="4">
        <v>0</v>
      </c>
    </row>
    <row r="429" spans="1:13" x14ac:dyDescent="0.3">
      <c r="A429" s="2">
        <v>427</v>
      </c>
      <c r="B429" s="2" t="s">
        <v>839</v>
      </c>
      <c r="C429" s="2" t="s">
        <v>840</v>
      </c>
      <c r="D429" s="2" t="s">
        <v>66</v>
      </c>
      <c r="E429" s="2" t="s">
        <v>17</v>
      </c>
      <c r="F429" s="2" t="s">
        <v>153</v>
      </c>
      <c r="G429" s="3">
        <v>106000</v>
      </c>
      <c r="H429" s="2" t="s">
        <v>36</v>
      </c>
      <c r="I429" s="2" t="s">
        <v>806</v>
      </c>
      <c r="J429" s="2">
        <v>3</v>
      </c>
      <c r="K429" s="2" t="s">
        <v>21</v>
      </c>
      <c r="L429" s="2" t="s">
        <v>22</v>
      </c>
      <c r="M429" s="2">
        <v>8</v>
      </c>
    </row>
    <row r="430" spans="1:13" x14ac:dyDescent="0.3">
      <c r="A430" s="4">
        <v>428</v>
      </c>
      <c r="B430" s="4" t="s">
        <v>841</v>
      </c>
      <c r="C430" s="4" t="s">
        <v>416</v>
      </c>
      <c r="D430" s="4" t="s">
        <v>16</v>
      </c>
      <c r="E430" s="4" t="s">
        <v>50</v>
      </c>
      <c r="F430" s="4" t="s">
        <v>266</v>
      </c>
      <c r="G430" s="5">
        <v>48000</v>
      </c>
      <c r="H430" s="4" t="s">
        <v>36</v>
      </c>
      <c r="I430" s="4" t="s">
        <v>806</v>
      </c>
      <c r="J430" s="4">
        <v>11</v>
      </c>
      <c r="K430" s="4" t="s">
        <v>27</v>
      </c>
      <c r="L430" s="4" t="s">
        <v>22</v>
      </c>
      <c r="M430" s="4">
        <v>6</v>
      </c>
    </row>
    <row r="431" spans="1:13" x14ac:dyDescent="0.3">
      <c r="A431" s="2">
        <v>429</v>
      </c>
      <c r="B431" s="2" t="s">
        <v>842</v>
      </c>
      <c r="C431" s="2" t="s">
        <v>843</v>
      </c>
      <c r="D431" s="2" t="s">
        <v>54</v>
      </c>
      <c r="E431" s="2" t="s">
        <v>45</v>
      </c>
      <c r="F431" s="2" t="s">
        <v>247</v>
      </c>
      <c r="G431" s="3">
        <v>48000</v>
      </c>
      <c r="H431" s="2" t="s">
        <v>19</v>
      </c>
      <c r="I431" s="2" t="s">
        <v>806</v>
      </c>
      <c r="J431" s="2">
        <v>17</v>
      </c>
      <c r="K431" s="2" t="s">
        <v>21</v>
      </c>
      <c r="L431" s="2" t="s">
        <v>46</v>
      </c>
      <c r="M431" s="2">
        <v>0</v>
      </c>
    </row>
    <row r="432" spans="1:13" x14ac:dyDescent="0.3">
      <c r="A432" s="4">
        <v>430</v>
      </c>
      <c r="B432" s="4" t="s">
        <v>844</v>
      </c>
      <c r="C432" s="4" t="s">
        <v>845</v>
      </c>
      <c r="D432" s="4" t="s">
        <v>49</v>
      </c>
      <c r="E432" s="4" t="s">
        <v>73</v>
      </c>
      <c r="F432" s="4" t="s">
        <v>70</v>
      </c>
      <c r="G432" s="5">
        <v>22000</v>
      </c>
      <c r="H432" s="4" t="s">
        <v>32</v>
      </c>
      <c r="I432" s="4" t="s">
        <v>806</v>
      </c>
      <c r="J432" s="4">
        <v>18</v>
      </c>
      <c r="K432" s="4" t="s">
        <v>21</v>
      </c>
      <c r="L432" s="4" t="s">
        <v>22</v>
      </c>
      <c r="M432" s="4">
        <v>1</v>
      </c>
    </row>
    <row r="433" spans="1:13" x14ac:dyDescent="0.3">
      <c r="A433" s="2">
        <v>431</v>
      </c>
      <c r="B433" s="2" t="s">
        <v>846</v>
      </c>
      <c r="C433" s="2" t="s">
        <v>847</v>
      </c>
      <c r="D433" s="2" t="s">
        <v>66</v>
      </c>
      <c r="E433" s="2" t="s">
        <v>55</v>
      </c>
      <c r="F433" s="2" t="s">
        <v>279</v>
      </c>
      <c r="G433" s="3">
        <v>88000</v>
      </c>
      <c r="H433" s="2" t="s">
        <v>26</v>
      </c>
      <c r="I433" s="2" t="s">
        <v>806</v>
      </c>
      <c r="J433" s="2">
        <v>11</v>
      </c>
      <c r="K433" s="2" t="s">
        <v>27</v>
      </c>
      <c r="L433" s="2" t="s">
        <v>57</v>
      </c>
      <c r="M433" s="2">
        <v>9</v>
      </c>
    </row>
    <row r="434" spans="1:13" x14ac:dyDescent="0.3">
      <c r="A434" s="4">
        <v>432</v>
      </c>
      <c r="B434" s="4" t="s">
        <v>848</v>
      </c>
      <c r="C434" s="4" t="s">
        <v>849</v>
      </c>
      <c r="D434" s="4" t="s">
        <v>66</v>
      </c>
      <c r="E434" s="4" t="s">
        <v>45</v>
      </c>
      <c r="F434" s="4" t="s">
        <v>67</v>
      </c>
      <c r="G434" s="5">
        <v>55000</v>
      </c>
      <c r="H434" s="4" t="s">
        <v>32</v>
      </c>
      <c r="I434" s="4" t="s">
        <v>806</v>
      </c>
      <c r="J434" s="4">
        <v>8</v>
      </c>
      <c r="K434" s="4" t="s">
        <v>21</v>
      </c>
      <c r="L434" s="4" t="s">
        <v>22</v>
      </c>
      <c r="M434" s="4">
        <v>6</v>
      </c>
    </row>
    <row r="435" spans="1:13" x14ac:dyDescent="0.3">
      <c r="A435" s="2">
        <v>433</v>
      </c>
      <c r="B435" s="2" t="s">
        <v>850</v>
      </c>
      <c r="C435" s="2" t="s">
        <v>851</v>
      </c>
      <c r="D435" s="2" t="s">
        <v>49</v>
      </c>
      <c r="E435" s="2" t="s">
        <v>73</v>
      </c>
      <c r="F435" s="2" t="s">
        <v>51</v>
      </c>
      <c r="G435" s="3">
        <v>50000</v>
      </c>
      <c r="H435" s="2" t="s">
        <v>36</v>
      </c>
      <c r="I435" s="2" t="s">
        <v>806</v>
      </c>
      <c r="J435" s="2">
        <v>15</v>
      </c>
      <c r="K435" s="2" t="s">
        <v>27</v>
      </c>
      <c r="L435" s="2" t="s">
        <v>22</v>
      </c>
      <c r="M435" s="2">
        <v>7</v>
      </c>
    </row>
    <row r="436" spans="1:13" x14ac:dyDescent="0.3">
      <c r="A436" s="4">
        <v>434</v>
      </c>
      <c r="B436" s="4" t="s">
        <v>852</v>
      </c>
      <c r="C436" s="4" t="s">
        <v>853</v>
      </c>
      <c r="D436" s="4" t="s">
        <v>49</v>
      </c>
      <c r="E436" s="4" t="s">
        <v>39</v>
      </c>
      <c r="F436" s="4" t="s">
        <v>70</v>
      </c>
      <c r="G436" s="5">
        <v>64000</v>
      </c>
      <c r="H436" s="4" t="s">
        <v>26</v>
      </c>
      <c r="I436" s="4" t="s">
        <v>806</v>
      </c>
      <c r="J436" s="4">
        <v>14</v>
      </c>
      <c r="K436" s="4" t="s">
        <v>21</v>
      </c>
      <c r="L436" s="4" t="s">
        <v>22</v>
      </c>
      <c r="M436" s="4">
        <v>11</v>
      </c>
    </row>
    <row r="437" spans="1:13" x14ac:dyDescent="0.3">
      <c r="A437" s="2">
        <v>435</v>
      </c>
      <c r="B437" s="2" t="s">
        <v>854</v>
      </c>
      <c r="C437" s="2" t="s">
        <v>799</v>
      </c>
      <c r="D437" s="2" t="s">
        <v>49</v>
      </c>
      <c r="E437" s="2" t="s">
        <v>45</v>
      </c>
      <c r="F437" s="2" t="s">
        <v>108</v>
      </c>
      <c r="G437" s="3">
        <v>49000</v>
      </c>
      <c r="H437" s="2" t="s">
        <v>19</v>
      </c>
      <c r="I437" s="2" t="s">
        <v>806</v>
      </c>
      <c r="J437" s="2">
        <v>13</v>
      </c>
      <c r="K437" s="2" t="s">
        <v>27</v>
      </c>
      <c r="L437" s="2" t="s">
        <v>22</v>
      </c>
      <c r="M437" s="2">
        <v>12</v>
      </c>
    </row>
    <row r="438" spans="1:13" x14ac:dyDescent="0.3">
      <c r="A438" s="4">
        <v>436</v>
      </c>
      <c r="B438" s="4" t="s">
        <v>855</v>
      </c>
      <c r="C438" s="4" t="s">
        <v>856</v>
      </c>
      <c r="D438" s="4" t="s">
        <v>59</v>
      </c>
      <c r="E438" s="4" t="s">
        <v>60</v>
      </c>
      <c r="F438" s="4" t="s">
        <v>61</v>
      </c>
      <c r="G438" s="5">
        <v>29000</v>
      </c>
      <c r="H438" s="4" t="s">
        <v>19</v>
      </c>
      <c r="I438" s="4" t="s">
        <v>806</v>
      </c>
      <c r="J438" s="4">
        <v>15</v>
      </c>
      <c r="K438" s="4" t="s">
        <v>27</v>
      </c>
      <c r="L438" s="4" t="s">
        <v>57</v>
      </c>
      <c r="M438" s="4">
        <v>3</v>
      </c>
    </row>
    <row r="439" spans="1:13" x14ac:dyDescent="0.3">
      <c r="A439" s="2">
        <v>437</v>
      </c>
      <c r="B439" s="2" t="s">
        <v>857</v>
      </c>
      <c r="C439" s="2" t="s">
        <v>858</v>
      </c>
      <c r="D439" s="2" t="s">
        <v>30</v>
      </c>
      <c r="E439" s="2" t="s">
        <v>45</v>
      </c>
      <c r="F439" s="2" t="s">
        <v>31</v>
      </c>
      <c r="G439" s="3">
        <v>49000</v>
      </c>
      <c r="H439" s="2" t="s">
        <v>19</v>
      </c>
      <c r="I439" s="2" t="s">
        <v>806</v>
      </c>
      <c r="J439" s="2">
        <v>11</v>
      </c>
      <c r="K439" s="2" t="s">
        <v>21</v>
      </c>
      <c r="L439" s="2" t="s">
        <v>22</v>
      </c>
      <c r="M439" s="2">
        <v>12</v>
      </c>
    </row>
    <row r="440" spans="1:13" x14ac:dyDescent="0.3">
      <c r="A440" s="4">
        <v>438</v>
      </c>
      <c r="B440" s="4" t="s">
        <v>859</v>
      </c>
      <c r="C440" s="4" t="s">
        <v>531</v>
      </c>
      <c r="D440" s="4" t="s">
        <v>101</v>
      </c>
      <c r="E440" s="4" t="s">
        <v>25</v>
      </c>
      <c r="F440" s="4" t="s">
        <v>102</v>
      </c>
      <c r="G440" s="5">
        <v>91000</v>
      </c>
      <c r="H440" s="4" t="s">
        <v>36</v>
      </c>
      <c r="I440" s="4" t="s">
        <v>806</v>
      </c>
      <c r="J440" s="4">
        <v>16</v>
      </c>
      <c r="K440" s="4" t="s">
        <v>27</v>
      </c>
      <c r="L440" s="4" t="s">
        <v>22</v>
      </c>
      <c r="M440" s="4">
        <v>3</v>
      </c>
    </row>
    <row r="441" spans="1:13" x14ac:dyDescent="0.3">
      <c r="A441" s="2">
        <v>439</v>
      </c>
      <c r="B441" s="2" t="s">
        <v>860</v>
      </c>
      <c r="C441" s="2" t="s">
        <v>861</v>
      </c>
      <c r="D441" s="2" t="s">
        <v>101</v>
      </c>
      <c r="E441" s="2" t="s">
        <v>50</v>
      </c>
      <c r="F441" s="2" t="s">
        <v>102</v>
      </c>
      <c r="G441" s="3">
        <v>101000</v>
      </c>
      <c r="H441" s="2" t="s">
        <v>36</v>
      </c>
      <c r="I441" s="2" t="s">
        <v>806</v>
      </c>
      <c r="J441" s="2">
        <v>13</v>
      </c>
      <c r="K441" s="2" t="s">
        <v>27</v>
      </c>
      <c r="L441" s="2" t="s">
        <v>22</v>
      </c>
      <c r="M441" s="2">
        <v>9</v>
      </c>
    </row>
    <row r="442" spans="1:13" x14ac:dyDescent="0.3">
      <c r="A442" s="4">
        <v>440</v>
      </c>
      <c r="B442" s="4" t="s">
        <v>862</v>
      </c>
      <c r="C442" s="4" t="s">
        <v>863</v>
      </c>
      <c r="D442" s="4" t="s">
        <v>49</v>
      </c>
      <c r="E442" s="4" t="s">
        <v>55</v>
      </c>
      <c r="F442" s="4" t="s">
        <v>108</v>
      </c>
      <c r="G442" s="5">
        <v>26000</v>
      </c>
      <c r="H442" s="4" t="s">
        <v>36</v>
      </c>
      <c r="I442" s="4" t="s">
        <v>806</v>
      </c>
      <c r="J442" s="4">
        <v>2</v>
      </c>
      <c r="K442" s="4" t="s">
        <v>27</v>
      </c>
      <c r="L442" s="4" t="s">
        <v>22</v>
      </c>
      <c r="M442" s="4">
        <v>3</v>
      </c>
    </row>
    <row r="443" spans="1:13" x14ac:dyDescent="0.3">
      <c r="A443" s="2">
        <v>441</v>
      </c>
      <c r="B443" s="2" t="s">
        <v>864</v>
      </c>
      <c r="C443" s="2" t="s">
        <v>865</v>
      </c>
      <c r="D443" s="2" t="s">
        <v>54</v>
      </c>
      <c r="E443" s="2" t="s">
        <v>50</v>
      </c>
      <c r="F443" s="2" t="s">
        <v>56</v>
      </c>
      <c r="G443" s="3">
        <v>22000</v>
      </c>
      <c r="H443" s="2" t="s">
        <v>19</v>
      </c>
      <c r="I443" s="2" t="s">
        <v>806</v>
      </c>
      <c r="J443" s="2">
        <v>4</v>
      </c>
      <c r="K443" s="2" t="s">
        <v>21</v>
      </c>
      <c r="L443" s="2" t="s">
        <v>22</v>
      </c>
      <c r="M443" s="2">
        <v>11</v>
      </c>
    </row>
    <row r="444" spans="1:13" x14ac:dyDescent="0.3">
      <c r="A444" s="4">
        <v>442</v>
      </c>
      <c r="B444" s="4" t="s">
        <v>866</v>
      </c>
      <c r="C444" s="4" t="s">
        <v>218</v>
      </c>
      <c r="D444" s="4" t="s">
        <v>90</v>
      </c>
      <c r="E444" s="4" t="s">
        <v>73</v>
      </c>
      <c r="F444" s="4" t="s">
        <v>98</v>
      </c>
      <c r="G444" s="5">
        <v>26000</v>
      </c>
      <c r="H444" s="4" t="s">
        <v>36</v>
      </c>
      <c r="I444" s="4" t="s">
        <v>806</v>
      </c>
      <c r="J444" s="4">
        <v>1</v>
      </c>
      <c r="K444" s="4" t="s">
        <v>27</v>
      </c>
      <c r="L444" s="4" t="s">
        <v>22</v>
      </c>
      <c r="M444" s="4">
        <v>10</v>
      </c>
    </row>
    <row r="445" spans="1:13" x14ac:dyDescent="0.3">
      <c r="A445" s="2">
        <v>443</v>
      </c>
      <c r="B445" s="2" t="s">
        <v>867</v>
      </c>
      <c r="C445" s="2" t="s">
        <v>597</v>
      </c>
      <c r="D445" s="2" t="s">
        <v>66</v>
      </c>
      <c r="E445" s="2" t="s">
        <v>55</v>
      </c>
      <c r="F445" s="2" t="s">
        <v>67</v>
      </c>
      <c r="G445" s="3">
        <v>64000</v>
      </c>
      <c r="H445" s="2" t="s">
        <v>19</v>
      </c>
      <c r="I445" s="2" t="s">
        <v>806</v>
      </c>
      <c r="J445" s="2">
        <v>7</v>
      </c>
      <c r="K445" s="2" t="s">
        <v>27</v>
      </c>
      <c r="L445" s="2" t="s">
        <v>22</v>
      </c>
      <c r="M445" s="2">
        <v>3</v>
      </c>
    </row>
    <row r="446" spans="1:13" x14ac:dyDescent="0.3">
      <c r="A446" s="4">
        <v>444</v>
      </c>
      <c r="B446" s="4" t="s">
        <v>868</v>
      </c>
      <c r="C446" s="4" t="s">
        <v>193</v>
      </c>
      <c r="D446" s="4" t="s">
        <v>66</v>
      </c>
      <c r="E446" s="4" t="s">
        <v>60</v>
      </c>
      <c r="F446" s="4" t="s">
        <v>121</v>
      </c>
      <c r="G446" s="5">
        <v>29000</v>
      </c>
      <c r="H446" s="4" t="s">
        <v>32</v>
      </c>
      <c r="I446" s="4" t="s">
        <v>806</v>
      </c>
      <c r="J446" s="4">
        <v>13</v>
      </c>
      <c r="K446" s="4" t="s">
        <v>21</v>
      </c>
      <c r="L446" s="4" t="s">
        <v>22</v>
      </c>
      <c r="M446" s="4">
        <v>9</v>
      </c>
    </row>
    <row r="447" spans="1:13" x14ac:dyDescent="0.3">
      <c r="A447" s="2">
        <v>445</v>
      </c>
      <c r="B447" s="2" t="s">
        <v>869</v>
      </c>
      <c r="C447" s="2" t="s">
        <v>870</v>
      </c>
      <c r="D447" s="2" t="s">
        <v>30</v>
      </c>
      <c r="E447" s="2" t="s">
        <v>50</v>
      </c>
      <c r="F447" s="2" t="s">
        <v>35</v>
      </c>
      <c r="G447" s="3">
        <v>42000</v>
      </c>
      <c r="H447" s="2" t="s">
        <v>32</v>
      </c>
      <c r="I447" s="2" t="s">
        <v>806</v>
      </c>
      <c r="J447" s="2">
        <v>3</v>
      </c>
      <c r="K447" s="2" t="s">
        <v>27</v>
      </c>
      <c r="L447" s="2" t="s">
        <v>22</v>
      </c>
      <c r="M447" s="2">
        <v>4</v>
      </c>
    </row>
    <row r="448" spans="1:13" x14ac:dyDescent="0.3">
      <c r="A448" s="4">
        <v>446</v>
      </c>
      <c r="B448" s="4" t="s">
        <v>871</v>
      </c>
      <c r="C448" s="4" t="s">
        <v>872</v>
      </c>
      <c r="D448" s="4" t="s">
        <v>90</v>
      </c>
      <c r="E448" s="4" t="s">
        <v>39</v>
      </c>
      <c r="F448" s="4" t="s">
        <v>105</v>
      </c>
      <c r="G448" s="5">
        <v>19000</v>
      </c>
      <c r="H448" s="4" t="s">
        <v>19</v>
      </c>
      <c r="I448" s="4" t="s">
        <v>806</v>
      </c>
      <c r="J448" s="4">
        <v>17</v>
      </c>
      <c r="K448" s="4" t="s">
        <v>21</v>
      </c>
      <c r="L448" s="4" t="s">
        <v>22</v>
      </c>
      <c r="M448" s="4">
        <v>6</v>
      </c>
    </row>
    <row r="449" spans="1:13" x14ac:dyDescent="0.3">
      <c r="A449" s="2">
        <v>447</v>
      </c>
      <c r="B449" s="2" t="s">
        <v>873</v>
      </c>
      <c r="C449" s="2" t="s">
        <v>488</v>
      </c>
      <c r="D449" s="2" t="s">
        <v>90</v>
      </c>
      <c r="E449" s="2" t="s">
        <v>60</v>
      </c>
      <c r="F449" s="2" t="s">
        <v>98</v>
      </c>
      <c r="G449" s="3">
        <v>25000</v>
      </c>
      <c r="H449" s="2" t="s">
        <v>19</v>
      </c>
      <c r="I449" s="2" t="s">
        <v>806</v>
      </c>
      <c r="J449" s="2">
        <v>13</v>
      </c>
      <c r="K449" s="2" t="s">
        <v>27</v>
      </c>
      <c r="L449" s="2" t="s">
        <v>22</v>
      </c>
      <c r="M449" s="2">
        <v>10</v>
      </c>
    </row>
    <row r="450" spans="1:13" x14ac:dyDescent="0.3">
      <c r="A450" s="4">
        <v>448</v>
      </c>
      <c r="B450" s="4" t="s">
        <v>874</v>
      </c>
      <c r="C450" s="4" t="s">
        <v>745</v>
      </c>
      <c r="D450" s="4" t="s">
        <v>49</v>
      </c>
      <c r="E450" s="4" t="s">
        <v>45</v>
      </c>
      <c r="F450" s="4" t="s">
        <v>70</v>
      </c>
      <c r="G450" s="5">
        <v>50000</v>
      </c>
      <c r="H450" s="4" t="s">
        <v>36</v>
      </c>
      <c r="I450" s="4" t="s">
        <v>806</v>
      </c>
      <c r="J450" s="4">
        <v>0</v>
      </c>
      <c r="K450" s="4" t="s">
        <v>21</v>
      </c>
      <c r="L450" s="4" t="s">
        <v>22</v>
      </c>
      <c r="M450" s="4">
        <v>6</v>
      </c>
    </row>
    <row r="451" spans="1:13" x14ac:dyDescent="0.3">
      <c r="A451" s="2">
        <v>449</v>
      </c>
      <c r="B451" s="2" t="s">
        <v>875</v>
      </c>
      <c r="C451" s="2" t="s">
        <v>876</v>
      </c>
      <c r="D451" s="2" t="s">
        <v>90</v>
      </c>
      <c r="E451" s="2" t="s">
        <v>73</v>
      </c>
      <c r="F451" s="2" t="s">
        <v>91</v>
      </c>
      <c r="G451" s="3">
        <v>57000</v>
      </c>
      <c r="H451" s="2" t="s">
        <v>32</v>
      </c>
      <c r="I451" s="2" t="s">
        <v>806</v>
      </c>
      <c r="J451" s="2">
        <v>1</v>
      </c>
      <c r="K451" s="2" t="s">
        <v>21</v>
      </c>
      <c r="L451" s="2" t="s">
        <v>46</v>
      </c>
      <c r="M451" s="2">
        <v>12</v>
      </c>
    </row>
    <row r="452" spans="1:13" x14ac:dyDescent="0.3">
      <c r="A452" s="4">
        <v>450</v>
      </c>
      <c r="B452" s="4" t="s">
        <v>877</v>
      </c>
      <c r="C452" s="4" t="s">
        <v>878</v>
      </c>
      <c r="D452" s="4" t="s">
        <v>54</v>
      </c>
      <c r="E452" s="4" t="s">
        <v>45</v>
      </c>
      <c r="F452" s="4" t="s">
        <v>158</v>
      </c>
      <c r="G452" s="5">
        <v>53000</v>
      </c>
      <c r="H452" s="4" t="s">
        <v>32</v>
      </c>
      <c r="I452" s="4" t="s">
        <v>806</v>
      </c>
      <c r="J452" s="4">
        <v>17</v>
      </c>
      <c r="K452" s="4" t="s">
        <v>21</v>
      </c>
      <c r="L452" s="4" t="s">
        <v>22</v>
      </c>
      <c r="M452" s="4">
        <v>11</v>
      </c>
    </row>
    <row r="453" spans="1:13" x14ac:dyDescent="0.3">
      <c r="A453" s="2">
        <v>451</v>
      </c>
      <c r="B453" s="2" t="s">
        <v>879</v>
      </c>
      <c r="C453" s="2" t="s">
        <v>104</v>
      </c>
      <c r="D453" s="2" t="s">
        <v>59</v>
      </c>
      <c r="E453" s="2" t="s">
        <v>50</v>
      </c>
      <c r="F453" s="2" t="s">
        <v>80</v>
      </c>
      <c r="G453" s="3">
        <v>37000</v>
      </c>
      <c r="H453" s="2" t="s">
        <v>19</v>
      </c>
      <c r="I453" s="2" t="s">
        <v>806</v>
      </c>
      <c r="J453" s="2">
        <v>6</v>
      </c>
      <c r="K453" s="2" t="s">
        <v>21</v>
      </c>
      <c r="L453" s="2" t="s">
        <v>22</v>
      </c>
      <c r="M453" s="2">
        <v>7</v>
      </c>
    </row>
    <row r="454" spans="1:13" x14ac:dyDescent="0.3">
      <c r="A454" s="4">
        <v>452</v>
      </c>
      <c r="B454" s="4" t="s">
        <v>880</v>
      </c>
      <c r="C454" s="4" t="s">
        <v>881</v>
      </c>
      <c r="D454" s="4" t="s">
        <v>54</v>
      </c>
      <c r="E454" s="4" t="s">
        <v>45</v>
      </c>
      <c r="F454" s="4" t="s">
        <v>158</v>
      </c>
      <c r="G454" s="5">
        <v>33000</v>
      </c>
      <c r="H454" s="4" t="s">
        <v>32</v>
      </c>
      <c r="I454" s="4" t="s">
        <v>806</v>
      </c>
      <c r="J454" s="4">
        <v>5</v>
      </c>
      <c r="K454" s="4" t="s">
        <v>27</v>
      </c>
      <c r="L454" s="4" t="s">
        <v>22</v>
      </c>
      <c r="M454" s="4">
        <v>6</v>
      </c>
    </row>
    <row r="455" spans="1:13" x14ac:dyDescent="0.3">
      <c r="A455" s="2">
        <v>453</v>
      </c>
      <c r="B455" s="2" t="s">
        <v>882</v>
      </c>
      <c r="C455" s="2" t="s">
        <v>702</v>
      </c>
      <c r="D455" s="2" t="s">
        <v>30</v>
      </c>
      <c r="E455" s="2" t="s">
        <v>17</v>
      </c>
      <c r="F455" s="2" t="s">
        <v>77</v>
      </c>
      <c r="G455" s="3">
        <v>38000</v>
      </c>
      <c r="H455" s="2" t="s">
        <v>36</v>
      </c>
      <c r="I455" s="2" t="s">
        <v>806</v>
      </c>
      <c r="J455" s="2">
        <v>8</v>
      </c>
      <c r="K455" s="2" t="s">
        <v>21</v>
      </c>
      <c r="L455" s="2" t="s">
        <v>22</v>
      </c>
      <c r="M455" s="2">
        <v>6</v>
      </c>
    </row>
    <row r="456" spans="1:13" x14ac:dyDescent="0.3">
      <c r="A456" s="4">
        <v>454</v>
      </c>
      <c r="B456" s="4" t="s">
        <v>883</v>
      </c>
      <c r="C456" s="4" t="s">
        <v>884</v>
      </c>
      <c r="D456" s="4" t="s">
        <v>16</v>
      </c>
      <c r="E456" s="4" t="s">
        <v>45</v>
      </c>
      <c r="F456" s="4" t="s">
        <v>266</v>
      </c>
      <c r="G456" s="5">
        <v>37000</v>
      </c>
      <c r="H456" s="4" t="s">
        <v>19</v>
      </c>
      <c r="I456" s="4" t="s">
        <v>885</v>
      </c>
      <c r="J456" s="4">
        <v>6</v>
      </c>
      <c r="K456" s="4" t="s">
        <v>27</v>
      </c>
      <c r="L456" s="4" t="s">
        <v>22</v>
      </c>
      <c r="M456" s="4">
        <v>1</v>
      </c>
    </row>
    <row r="457" spans="1:13" x14ac:dyDescent="0.3">
      <c r="A457" s="2">
        <v>455</v>
      </c>
      <c r="B457" s="2" t="s">
        <v>886</v>
      </c>
      <c r="C457" s="2" t="s">
        <v>887</v>
      </c>
      <c r="D457" s="2" t="s">
        <v>49</v>
      </c>
      <c r="E457" s="2" t="s">
        <v>73</v>
      </c>
      <c r="F457" s="2" t="s">
        <v>51</v>
      </c>
      <c r="G457" s="3">
        <v>61000</v>
      </c>
      <c r="H457" s="2" t="s">
        <v>36</v>
      </c>
      <c r="I457" s="2" t="s">
        <v>885</v>
      </c>
      <c r="J457" s="2">
        <v>11</v>
      </c>
      <c r="K457" s="2" t="s">
        <v>27</v>
      </c>
      <c r="L457" s="2" t="s">
        <v>22</v>
      </c>
      <c r="M457" s="2">
        <v>11</v>
      </c>
    </row>
    <row r="458" spans="1:13" x14ac:dyDescent="0.3">
      <c r="A458" s="4">
        <v>456</v>
      </c>
      <c r="B458" s="4" t="s">
        <v>888</v>
      </c>
      <c r="C458" s="4" t="s">
        <v>889</v>
      </c>
      <c r="D458" s="4" t="s">
        <v>49</v>
      </c>
      <c r="E458" s="4" t="s">
        <v>60</v>
      </c>
      <c r="F458" s="4" t="s">
        <v>70</v>
      </c>
      <c r="G458" s="5">
        <v>27000</v>
      </c>
      <c r="H458" s="4" t="s">
        <v>32</v>
      </c>
      <c r="I458" s="4" t="s">
        <v>885</v>
      </c>
      <c r="J458" s="4">
        <v>9</v>
      </c>
      <c r="K458" s="4" t="s">
        <v>21</v>
      </c>
      <c r="L458" s="4" t="s">
        <v>22</v>
      </c>
      <c r="M458" s="4">
        <v>0</v>
      </c>
    </row>
    <row r="459" spans="1:13" x14ac:dyDescent="0.3">
      <c r="A459" s="2">
        <v>457</v>
      </c>
      <c r="B459" s="2" t="s">
        <v>890</v>
      </c>
      <c r="C459" s="2" t="s">
        <v>891</v>
      </c>
      <c r="D459" s="2" t="s">
        <v>30</v>
      </c>
      <c r="E459" s="2" t="s">
        <v>73</v>
      </c>
      <c r="F459" s="2" t="s">
        <v>35</v>
      </c>
      <c r="G459" s="3">
        <v>68000</v>
      </c>
      <c r="H459" s="2" t="s">
        <v>36</v>
      </c>
      <c r="I459" s="2" t="s">
        <v>885</v>
      </c>
      <c r="J459" s="2">
        <v>8</v>
      </c>
      <c r="K459" s="2" t="s">
        <v>21</v>
      </c>
      <c r="L459" s="2" t="s">
        <v>22</v>
      </c>
      <c r="M459" s="2">
        <v>9</v>
      </c>
    </row>
    <row r="460" spans="1:13" x14ac:dyDescent="0.3">
      <c r="A460" s="4">
        <v>458</v>
      </c>
      <c r="B460" s="4" t="s">
        <v>892</v>
      </c>
      <c r="C460" s="4" t="s">
        <v>893</v>
      </c>
      <c r="D460" s="4" t="s">
        <v>101</v>
      </c>
      <c r="E460" s="4" t="s">
        <v>50</v>
      </c>
      <c r="F460" s="4" t="s">
        <v>349</v>
      </c>
      <c r="G460" s="5">
        <v>89000</v>
      </c>
      <c r="H460" s="4" t="s">
        <v>26</v>
      </c>
      <c r="I460" s="4" t="s">
        <v>885</v>
      </c>
      <c r="J460" s="4">
        <v>8</v>
      </c>
      <c r="K460" s="4" t="s">
        <v>27</v>
      </c>
      <c r="L460" s="4" t="s">
        <v>22</v>
      </c>
      <c r="M460" s="4">
        <v>1</v>
      </c>
    </row>
    <row r="461" spans="1:13" x14ac:dyDescent="0.3">
      <c r="A461" s="2">
        <v>459</v>
      </c>
      <c r="B461" s="2" t="s">
        <v>894</v>
      </c>
      <c r="C461" s="2" t="s">
        <v>895</v>
      </c>
      <c r="D461" s="2" t="s">
        <v>16</v>
      </c>
      <c r="E461" s="2" t="s">
        <v>60</v>
      </c>
      <c r="F461" s="2" t="s">
        <v>42</v>
      </c>
      <c r="G461" s="3">
        <v>33000</v>
      </c>
      <c r="H461" s="2" t="s">
        <v>36</v>
      </c>
      <c r="I461" s="2" t="s">
        <v>885</v>
      </c>
      <c r="J461" s="2">
        <v>15</v>
      </c>
      <c r="K461" s="2" t="s">
        <v>21</v>
      </c>
      <c r="L461" s="2" t="s">
        <v>46</v>
      </c>
      <c r="M461" s="2">
        <v>1</v>
      </c>
    </row>
    <row r="462" spans="1:13" x14ac:dyDescent="0.3">
      <c r="A462" s="4">
        <v>460</v>
      </c>
      <c r="B462" s="4" t="s">
        <v>896</v>
      </c>
      <c r="C462" s="4" t="s">
        <v>294</v>
      </c>
      <c r="D462" s="4" t="s">
        <v>54</v>
      </c>
      <c r="E462" s="4" t="s">
        <v>39</v>
      </c>
      <c r="F462" s="4" t="s">
        <v>200</v>
      </c>
      <c r="G462" s="5">
        <v>40000</v>
      </c>
      <c r="H462" s="4" t="s">
        <v>26</v>
      </c>
      <c r="I462" s="4" t="s">
        <v>885</v>
      </c>
      <c r="J462" s="4">
        <v>7</v>
      </c>
      <c r="K462" s="4" t="s">
        <v>27</v>
      </c>
      <c r="L462" s="4" t="s">
        <v>46</v>
      </c>
      <c r="M462" s="4">
        <v>9</v>
      </c>
    </row>
    <row r="463" spans="1:13" x14ac:dyDescent="0.3">
      <c r="A463" s="2">
        <v>461</v>
      </c>
      <c r="B463" s="2" t="s">
        <v>897</v>
      </c>
      <c r="C463" s="2" t="s">
        <v>110</v>
      </c>
      <c r="D463" s="2" t="s">
        <v>54</v>
      </c>
      <c r="E463" s="2" t="s">
        <v>45</v>
      </c>
      <c r="F463" s="2" t="s">
        <v>56</v>
      </c>
      <c r="G463" s="3">
        <v>33000</v>
      </c>
      <c r="H463" s="2" t="s">
        <v>36</v>
      </c>
      <c r="I463" s="2" t="s">
        <v>885</v>
      </c>
      <c r="J463" s="2">
        <v>0</v>
      </c>
      <c r="K463" s="2" t="s">
        <v>21</v>
      </c>
      <c r="L463" s="2" t="s">
        <v>46</v>
      </c>
      <c r="M463" s="2">
        <v>7</v>
      </c>
    </row>
    <row r="464" spans="1:13" x14ac:dyDescent="0.3">
      <c r="A464" s="4">
        <v>462</v>
      </c>
      <c r="B464" s="4" t="s">
        <v>898</v>
      </c>
      <c r="C464" s="4" t="s">
        <v>249</v>
      </c>
      <c r="D464" s="4" t="s">
        <v>49</v>
      </c>
      <c r="E464" s="4" t="s">
        <v>17</v>
      </c>
      <c r="F464" s="4" t="s">
        <v>70</v>
      </c>
      <c r="G464" s="5">
        <v>48000</v>
      </c>
      <c r="H464" s="4" t="s">
        <v>32</v>
      </c>
      <c r="I464" s="4" t="s">
        <v>885</v>
      </c>
      <c r="J464" s="4">
        <v>18</v>
      </c>
      <c r="K464" s="4" t="s">
        <v>21</v>
      </c>
      <c r="L464" s="4" t="s">
        <v>22</v>
      </c>
      <c r="M464" s="4">
        <v>4</v>
      </c>
    </row>
    <row r="465" spans="1:13" x14ac:dyDescent="0.3">
      <c r="A465" s="2">
        <v>463</v>
      </c>
      <c r="B465" s="2" t="s">
        <v>899</v>
      </c>
      <c r="C465" s="2" t="s">
        <v>900</v>
      </c>
      <c r="D465" s="2" t="s">
        <v>101</v>
      </c>
      <c r="E465" s="2" t="s">
        <v>45</v>
      </c>
      <c r="F465" s="2" t="s">
        <v>349</v>
      </c>
      <c r="G465" s="3">
        <v>132000</v>
      </c>
      <c r="H465" s="2" t="s">
        <v>36</v>
      </c>
      <c r="I465" s="2" t="s">
        <v>885</v>
      </c>
      <c r="J465" s="2">
        <v>16</v>
      </c>
      <c r="K465" s="2" t="s">
        <v>21</v>
      </c>
      <c r="L465" s="2" t="s">
        <v>46</v>
      </c>
      <c r="M465" s="2">
        <v>8</v>
      </c>
    </row>
    <row r="466" spans="1:13" x14ac:dyDescent="0.3">
      <c r="A466" s="4">
        <v>464</v>
      </c>
      <c r="B466" s="4" t="s">
        <v>901</v>
      </c>
      <c r="C466" s="4" t="s">
        <v>578</v>
      </c>
      <c r="D466" s="4" t="s">
        <v>59</v>
      </c>
      <c r="E466" s="4" t="s">
        <v>73</v>
      </c>
      <c r="F466" s="4" t="s">
        <v>319</v>
      </c>
      <c r="G466" s="5">
        <v>85000</v>
      </c>
      <c r="H466" s="4" t="s">
        <v>36</v>
      </c>
      <c r="I466" s="4" t="s">
        <v>885</v>
      </c>
      <c r="J466" s="4">
        <v>1</v>
      </c>
      <c r="K466" s="4" t="s">
        <v>21</v>
      </c>
      <c r="L466" s="4" t="s">
        <v>22</v>
      </c>
      <c r="M466" s="4">
        <v>7</v>
      </c>
    </row>
    <row r="467" spans="1:13" x14ac:dyDescent="0.3">
      <c r="A467" s="2">
        <v>465</v>
      </c>
      <c r="B467" s="2" t="s">
        <v>902</v>
      </c>
      <c r="C467" s="2" t="s">
        <v>726</v>
      </c>
      <c r="D467" s="2" t="s">
        <v>49</v>
      </c>
      <c r="E467" s="2" t="s">
        <v>25</v>
      </c>
      <c r="F467" s="2" t="s">
        <v>189</v>
      </c>
      <c r="G467" s="3">
        <v>63000</v>
      </c>
      <c r="H467" s="2" t="s">
        <v>26</v>
      </c>
      <c r="I467" s="2" t="s">
        <v>885</v>
      </c>
      <c r="J467" s="2">
        <v>2</v>
      </c>
      <c r="K467" s="2" t="s">
        <v>27</v>
      </c>
      <c r="L467" s="2" t="s">
        <v>22</v>
      </c>
      <c r="M467" s="2">
        <v>1</v>
      </c>
    </row>
    <row r="468" spans="1:13" x14ac:dyDescent="0.3">
      <c r="A468" s="4">
        <v>466</v>
      </c>
      <c r="B468" s="4" t="s">
        <v>903</v>
      </c>
      <c r="C468" s="4" t="s">
        <v>904</v>
      </c>
      <c r="D468" s="4" t="s">
        <v>30</v>
      </c>
      <c r="E468" s="4" t="s">
        <v>45</v>
      </c>
      <c r="F468" s="4" t="s">
        <v>31</v>
      </c>
      <c r="G468" s="5">
        <v>52000</v>
      </c>
      <c r="H468" s="4" t="s">
        <v>32</v>
      </c>
      <c r="I468" s="4" t="s">
        <v>885</v>
      </c>
      <c r="J468" s="4">
        <v>16</v>
      </c>
      <c r="K468" s="4" t="s">
        <v>21</v>
      </c>
      <c r="L468" s="4" t="s">
        <v>22</v>
      </c>
      <c r="M468" s="4">
        <v>4</v>
      </c>
    </row>
    <row r="469" spans="1:13" x14ac:dyDescent="0.3">
      <c r="A469" s="2">
        <v>467</v>
      </c>
      <c r="B469" s="2" t="s">
        <v>905</v>
      </c>
      <c r="C469" s="2" t="s">
        <v>851</v>
      </c>
      <c r="D469" s="2" t="s">
        <v>30</v>
      </c>
      <c r="E469" s="2" t="s">
        <v>50</v>
      </c>
      <c r="F469" s="2" t="s">
        <v>118</v>
      </c>
      <c r="G469" s="3">
        <v>50000</v>
      </c>
      <c r="H469" s="2" t="s">
        <v>19</v>
      </c>
      <c r="I469" s="2" t="s">
        <v>885</v>
      </c>
      <c r="J469" s="2">
        <v>15</v>
      </c>
      <c r="K469" s="2" t="s">
        <v>27</v>
      </c>
      <c r="L469" s="2" t="s">
        <v>22</v>
      </c>
      <c r="M469" s="2">
        <v>12</v>
      </c>
    </row>
    <row r="470" spans="1:13" x14ac:dyDescent="0.3">
      <c r="A470" s="4">
        <v>468</v>
      </c>
      <c r="B470" s="4" t="s">
        <v>906</v>
      </c>
      <c r="C470" s="4" t="s">
        <v>459</v>
      </c>
      <c r="D470" s="4" t="s">
        <v>66</v>
      </c>
      <c r="E470" s="4" t="s">
        <v>55</v>
      </c>
      <c r="F470" s="4" t="s">
        <v>121</v>
      </c>
      <c r="G470" s="5">
        <v>30000</v>
      </c>
      <c r="H470" s="4" t="s">
        <v>32</v>
      </c>
      <c r="I470" s="4" t="s">
        <v>885</v>
      </c>
      <c r="J470" s="4">
        <v>1</v>
      </c>
      <c r="K470" s="4" t="s">
        <v>21</v>
      </c>
      <c r="L470" s="4" t="s">
        <v>22</v>
      </c>
      <c r="M470" s="4">
        <v>1</v>
      </c>
    </row>
    <row r="471" spans="1:13" x14ac:dyDescent="0.3">
      <c r="A471" s="2">
        <v>469</v>
      </c>
      <c r="B471" s="2" t="s">
        <v>907</v>
      </c>
      <c r="C471" s="2" t="s">
        <v>908</v>
      </c>
      <c r="D471" s="2" t="s">
        <v>90</v>
      </c>
      <c r="E471" s="2" t="s">
        <v>17</v>
      </c>
      <c r="F471" s="2" t="s">
        <v>113</v>
      </c>
      <c r="G471" s="3">
        <v>40000</v>
      </c>
      <c r="H471" s="2" t="s">
        <v>32</v>
      </c>
      <c r="I471" s="2" t="s">
        <v>885</v>
      </c>
      <c r="J471" s="2">
        <v>8</v>
      </c>
      <c r="K471" s="2" t="s">
        <v>27</v>
      </c>
      <c r="L471" s="2" t="s">
        <v>57</v>
      </c>
      <c r="M471" s="2">
        <v>9</v>
      </c>
    </row>
    <row r="472" spans="1:13" x14ac:dyDescent="0.3">
      <c r="A472" s="4">
        <v>470</v>
      </c>
      <c r="B472" s="4" t="s">
        <v>909</v>
      </c>
      <c r="C472" s="4" t="s">
        <v>910</v>
      </c>
      <c r="D472" s="4" t="s">
        <v>49</v>
      </c>
      <c r="E472" s="4" t="s">
        <v>17</v>
      </c>
      <c r="F472" s="4" t="s">
        <v>189</v>
      </c>
      <c r="G472" s="5">
        <v>61000</v>
      </c>
      <c r="H472" s="4" t="s">
        <v>26</v>
      </c>
      <c r="I472" s="4" t="s">
        <v>885</v>
      </c>
      <c r="J472" s="4">
        <v>9</v>
      </c>
      <c r="K472" s="4" t="s">
        <v>21</v>
      </c>
      <c r="L472" s="4" t="s">
        <v>46</v>
      </c>
      <c r="M472" s="4">
        <v>4</v>
      </c>
    </row>
    <row r="473" spans="1:13" x14ac:dyDescent="0.3">
      <c r="A473" s="2">
        <v>471</v>
      </c>
      <c r="B473" s="2" t="s">
        <v>911</v>
      </c>
      <c r="C473" s="2" t="s">
        <v>912</v>
      </c>
      <c r="D473" s="2" t="s">
        <v>90</v>
      </c>
      <c r="E473" s="2" t="s">
        <v>50</v>
      </c>
      <c r="F473" s="2" t="s">
        <v>113</v>
      </c>
      <c r="G473" s="3">
        <v>53000</v>
      </c>
      <c r="H473" s="2" t="s">
        <v>19</v>
      </c>
      <c r="I473" s="2" t="s">
        <v>885</v>
      </c>
      <c r="J473" s="2">
        <v>4</v>
      </c>
      <c r="K473" s="2" t="s">
        <v>27</v>
      </c>
      <c r="L473" s="2" t="s">
        <v>22</v>
      </c>
      <c r="M473" s="2">
        <v>10</v>
      </c>
    </row>
    <row r="474" spans="1:13" x14ac:dyDescent="0.3">
      <c r="A474" s="4">
        <v>472</v>
      </c>
      <c r="B474" s="4" t="s">
        <v>913</v>
      </c>
      <c r="C474" s="4" t="s">
        <v>914</v>
      </c>
      <c r="D474" s="4" t="s">
        <v>30</v>
      </c>
      <c r="E474" s="4" t="s">
        <v>17</v>
      </c>
      <c r="F474" s="4" t="s">
        <v>118</v>
      </c>
      <c r="G474" s="5">
        <v>74000</v>
      </c>
      <c r="H474" s="4" t="s">
        <v>19</v>
      </c>
      <c r="I474" s="4" t="s">
        <v>885</v>
      </c>
      <c r="J474" s="4">
        <v>4</v>
      </c>
      <c r="K474" s="4" t="s">
        <v>21</v>
      </c>
      <c r="L474" s="4" t="s">
        <v>22</v>
      </c>
      <c r="M474" s="4">
        <v>7</v>
      </c>
    </row>
    <row r="475" spans="1:13" x14ac:dyDescent="0.3">
      <c r="A475" s="2">
        <v>473</v>
      </c>
      <c r="B475" s="2" t="s">
        <v>915</v>
      </c>
      <c r="C475" s="2" t="s">
        <v>407</v>
      </c>
      <c r="D475" s="2" t="s">
        <v>49</v>
      </c>
      <c r="E475" s="2" t="s">
        <v>25</v>
      </c>
      <c r="F475" s="2" t="s">
        <v>189</v>
      </c>
      <c r="G475" s="3">
        <v>44000</v>
      </c>
      <c r="H475" s="2" t="s">
        <v>26</v>
      </c>
      <c r="I475" s="2" t="s">
        <v>885</v>
      </c>
      <c r="J475" s="2">
        <v>6</v>
      </c>
      <c r="K475" s="2" t="s">
        <v>27</v>
      </c>
      <c r="L475" s="2" t="s">
        <v>22</v>
      </c>
      <c r="M475" s="2">
        <v>2</v>
      </c>
    </row>
    <row r="476" spans="1:13" x14ac:dyDescent="0.3">
      <c r="A476" s="4">
        <v>474</v>
      </c>
      <c r="B476" s="4" t="s">
        <v>916</v>
      </c>
      <c r="C476" s="4" t="s">
        <v>117</v>
      </c>
      <c r="D476" s="4" t="s">
        <v>66</v>
      </c>
      <c r="E476" s="4" t="s">
        <v>45</v>
      </c>
      <c r="F476" s="4" t="s">
        <v>279</v>
      </c>
      <c r="G476" s="5">
        <v>83000</v>
      </c>
      <c r="H476" s="4" t="s">
        <v>26</v>
      </c>
      <c r="I476" s="4" t="s">
        <v>885</v>
      </c>
      <c r="J476" s="4">
        <v>6</v>
      </c>
      <c r="K476" s="4" t="s">
        <v>21</v>
      </c>
      <c r="L476" s="4" t="s">
        <v>22</v>
      </c>
      <c r="M476" s="4">
        <v>0</v>
      </c>
    </row>
    <row r="477" spans="1:13" x14ac:dyDescent="0.3">
      <c r="A477" s="2">
        <v>475</v>
      </c>
      <c r="B477" s="2" t="s">
        <v>917</v>
      </c>
      <c r="C477" s="2" t="s">
        <v>918</v>
      </c>
      <c r="D477" s="2" t="s">
        <v>16</v>
      </c>
      <c r="E477" s="2" t="s">
        <v>73</v>
      </c>
      <c r="F477" s="2" t="s">
        <v>74</v>
      </c>
      <c r="G477" s="3">
        <v>30000</v>
      </c>
      <c r="H477" s="2" t="s">
        <v>19</v>
      </c>
      <c r="I477" s="2" t="s">
        <v>885</v>
      </c>
      <c r="J477" s="2">
        <v>0</v>
      </c>
      <c r="K477" s="2" t="s">
        <v>21</v>
      </c>
      <c r="L477" s="2" t="s">
        <v>22</v>
      </c>
      <c r="M477" s="2">
        <v>6</v>
      </c>
    </row>
    <row r="478" spans="1:13" x14ac:dyDescent="0.3">
      <c r="A478" s="4">
        <v>476</v>
      </c>
      <c r="B478" s="4" t="s">
        <v>919</v>
      </c>
      <c r="C478" s="4" t="s">
        <v>818</v>
      </c>
      <c r="D478" s="4" t="s">
        <v>101</v>
      </c>
      <c r="E478" s="4" t="s">
        <v>55</v>
      </c>
      <c r="F478" s="4" t="s">
        <v>126</v>
      </c>
      <c r="G478" s="5">
        <v>37000</v>
      </c>
      <c r="H478" s="4" t="s">
        <v>19</v>
      </c>
      <c r="I478" s="4" t="s">
        <v>885</v>
      </c>
      <c r="J478" s="4">
        <v>3</v>
      </c>
      <c r="K478" s="4" t="s">
        <v>27</v>
      </c>
      <c r="L478" s="4" t="s">
        <v>22</v>
      </c>
      <c r="M478" s="4">
        <v>0</v>
      </c>
    </row>
    <row r="479" spans="1:13" x14ac:dyDescent="0.3">
      <c r="A479" s="2">
        <v>477</v>
      </c>
      <c r="B479" s="2" t="s">
        <v>920</v>
      </c>
      <c r="C479" s="2" t="s">
        <v>838</v>
      </c>
      <c r="D479" s="2" t="s">
        <v>54</v>
      </c>
      <c r="E479" s="2" t="s">
        <v>39</v>
      </c>
      <c r="F479" s="2" t="s">
        <v>247</v>
      </c>
      <c r="G479" s="3">
        <v>20000</v>
      </c>
      <c r="H479" s="2" t="s">
        <v>19</v>
      </c>
      <c r="I479" s="2" t="s">
        <v>885</v>
      </c>
      <c r="J479" s="2">
        <v>13</v>
      </c>
      <c r="K479" s="2" t="s">
        <v>27</v>
      </c>
      <c r="L479" s="2" t="s">
        <v>22</v>
      </c>
      <c r="M479" s="2">
        <v>6</v>
      </c>
    </row>
    <row r="480" spans="1:13" x14ac:dyDescent="0.3">
      <c r="A480" s="4">
        <v>478</v>
      </c>
      <c r="B480" s="4" t="s">
        <v>921</v>
      </c>
      <c r="C480" s="4" t="s">
        <v>922</v>
      </c>
      <c r="D480" s="4" t="s">
        <v>101</v>
      </c>
      <c r="E480" s="4" t="s">
        <v>25</v>
      </c>
      <c r="F480" s="4" t="s">
        <v>349</v>
      </c>
      <c r="G480" s="5">
        <v>77000</v>
      </c>
      <c r="H480" s="4" t="s">
        <v>32</v>
      </c>
      <c r="I480" s="4" t="s">
        <v>885</v>
      </c>
      <c r="J480" s="4">
        <v>5</v>
      </c>
      <c r="K480" s="4" t="s">
        <v>27</v>
      </c>
      <c r="L480" s="4" t="s">
        <v>22</v>
      </c>
      <c r="M480" s="4">
        <v>5</v>
      </c>
    </row>
    <row r="481" spans="1:13" x14ac:dyDescent="0.3">
      <c r="A481" s="2">
        <v>479</v>
      </c>
      <c r="B481" s="2" t="s">
        <v>923</v>
      </c>
      <c r="C481" s="2" t="s">
        <v>924</v>
      </c>
      <c r="D481" s="2" t="s">
        <v>30</v>
      </c>
      <c r="E481" s="2" t="s">
        <v>60</v>
      </c>
      <c r="F481" s="2" t="s">
        <v>118</v>
      </c>
      <c r="G481" s="3">
        <v>73000</v>
      </c>
      <c r="H481" s="2" t="s">
        <v>19</v>
      </c>
      <c r="I481" s="2" t="s">
        <v>885</v>
      </c>
      <c r="J481" s="2">
        <v>2</v>
      </c>
      <c r="K481" s="2" t="s">
        <v>21</v>
      </c>
      <c r="L481" s="2" t="s">
        <v>57</v>
      </c>
      <c r="M481" s="2">
        <v>4</v>
      </c>
    </row>
    <row r="482" spans="1:13" x14ac:dyDescent="0.3">
      <c r="A482" s="4">
        <v>480</v>
      </c>
      <c r="B482" s="4" t="s">
        <v>925</v>
      </c>
      <c r="C482" s="4" t="s">
        <v>926</v>
      </c>
      <c r="D482" s="4" t="s">
        <v>49</v>
      </c>
      <c r="E482" s="4" t="s">
        <v>55</v>
      </c>
      <c r="F482" s="4" t="s">
        <v>51</v>
      </c>
      <c r="G482" s="5">
        <v>54000</v>
      </c>
      <c r="H482" s="4" t="s">
        <v>19</v>
      </c>
      <c r="I482" s="4" t="s">
        <v>885</v>
      </c>
      <c r="J482" s="4">
        <v>11</v>
      </c>
      <c r="K482" s="4" t="s">
        <v>21</v>
      </c>
      <c r="L482" s="4" t="s">
        <v>22</v>
      </c>
      <c r="M482" s="4">
        <v>4</v>
      </c>
    </row>
    <row r="483" spans="1:13" x14ac:dyDescent="0.3">
      <c r="A483" s="2">
        <v>481</v>
      </c>
      <c r="B483" s="2" t="s">
        <v>927</v>
      </c>
      <c r="C483" s="2" t="s">
        <v>498</v>
      </c>
      <c r="D483" s="2" t="s">
        <v>101</v>
      </c>
      <c r="E483" s="2" t="s">
        <v>60</v>
      </c>
      <c r="F483" s="2" t="s">
        <v>126</v>
      </c>
      <c r="G483" s="3">
        <v>86000</v>
      </c>
      <c r="H483" s="2" t="s">
        <v>32</v>
      </c>
      <c r="I483" s="2" t="s">
        <v>885</v>
      </c>
      <c r="J483" s="2">
        <v>17</v>
      </c>
      <c r="K483" s="2" t="s">
        <v>21</v>
      </c>
      <c r="L483" s="2" t="s">
        <v>57</v>
      </c>
      <c r="M483" s="2">
        <v>5</v>
      </c>
    </row>
    <row r="484" spans="1:13" x14ac:dyDescent="0.3">
      <c r="A484" s="4">
        <v>482</v>
      </c>
      <c r="B484" s="4" t="s">
        <v>928</v>
      </c>
      <c r="C484" s="4" t="s">
        <v>929</v>
      </c>
      <c r="D484" s="4" t="s">
        <v>49</v>
      </c>
      <c r="E484" s="4" t="s">
        <v>55</v>
      </c>
      <c r="F484" s="4" t="s">
        <v>108</v>
      </c>
      <c r="G484" s="5">
        <v>57000</v>
      </c>
      <c r="H484" s="4" t="s">
        <v>36</v>
      </c>
      <c r="I484" s="4" t="s">
        <v>885</v>
      </c>
      <c r="J484" s="4">
        <v>12</v>
      </c>
      <c r="K484" s="4" t="s">
        <v>21</v>
      </c>
      <c r="L484" s="4" t="s">
        <v>22</v>
      </c>
      <c r="M484" s="4">
        <v>12</v>
      </c>
    </row>
    <row r="485" spans="1:13" x14ac:dyDescent="0.3">
      <c r="A485" s="2">
        <v>483</v>
      </c>
      <c r="B485" s="2" t="s">
        <v>930</v>
      </c>
      <c r="C485" s="2" t="s">
        <v>712</v>
      </c>
      <c r="D485" s="2" t="s">
        <v>90</v>
      </c>
      <c r="E485" s="2" t="s">
        <v>50</v>
      </c>
      <c r="F485" s="2" t="s">
        <v>91</v>
      </c>
      <c r="G485" s="3">
        <v>22000</v>
      </c>
      <c r="H485" s="2" t="s">
        <v>36</v>
      </c>
      <c r="I485" s="2" t="s">
        <v>885</v>
      </c>
      <c r="J485" s="2">
        <v>7</v>
      </c>
      <c r="K485" s="2" t="s">
        <v>27</v>
      </c>
      <c r="L485" s="2" t="s">
        <v>46</v>
      </c>
      <c r="M485" s="2">
        <v>12</v>
      </c>
    </row>
    <row r="486" spans="1:13" x14ac:dyDescent="0.3">
      <c r="A486" s="4">
        <v>484</v>
      </c>
      <c r="B486" s="4" t="s">
        <v>931</v>
      </c>
      <c r="C486" s="4" t="s">
        <v>932</v>
      </c>
      <c r="D486" s="4" t="s">
        <v>30</v>
      </c>
      <c r="E486" s="4" t="s">
        <v>73</v>
      </c>
      <c r="F486" s="4" t="s">
        <v>35</v>
      </c>
      <c r="G486" s="5">
        <v>55000</v>
      </c>
      <c r="H486" s="4" t="s">
        <v>19</v>
      </c>
      <c r="I486" s="4" t="s">
        <v>885</v>
      </c>
      <c r="J486" s="4">
        <v>10</v>
      </c>
      <c r="K486" s="4" t="s">
        <v>27</v>
      </c>
      <c r="L486" s="4" t="s">
        <v>22</v>
      </c>
      <c r="M486" s="4">
        <v>8</v>
      </c>
    </row>
    <row r="487" spans="1:13" x14ac:dyDescent="0.3">
      <c r="A487" s="2">
        <v>485</v>
      </c>
      <c r="B487" s="2" t="s">
        <v>933</v>
      </c>
      <c r="C487" s="2" t="s">
        <v>934</v>
      </c>
      <c r="D487" s="2" t="s">
        <v>16</v>
      </c>
      <c r="E487" s="2" t="s">
        <v>25</v>
      </c>
      <c r="F487" s="2" t="s">
        <v>266</v>
      </c>
      <c r="G487" s="3">
        <v>33000</v>
      </c>
      <c r="H487" s="2" t="s">
        <v>32</v>
      </c>
      <c r="I487" s="2" t="s">
        <v>885</v>
      </c>
      <c r="J487" s="2">
        <v>6</v>
      </c>
      <c r="K487" s="2" t="s">
        <v>21</v>
      </c>
      <c r="L487" s="2" t="s">
        <v>22</v>
      </c>
      <c r="M487" s="2">
        <v>11</v>
      </c>
    </row>
    <row r="488" spans="1:13" x14ac:dyDescent="0.3">
      <c r="A488" s="4">
        <v>486</v>
      </c>
      <c r="B488" s="4" t="s">
        <v>935</v>
      </c>
      <c r="C488" s="4" t="s">
        <v>44</v>
      </c>
      <c r="D488" s="4" t="s">
        <v>59</v>
      </c>
      <c r="E488" s="4" t="s">
        <v>50</v>
      </c>
      <c r="F488" s="4" t="s">
        <v>61</v>
      </c>
      <c r="G488" s="5">
        <v>80000</v>
      </c>
      <c r="H488" s="4" t="s">
        <v>36</v>
      </c>
      <c r="I488" s="4" t="s">
        <v>885</v>
      </c>
      <c r="J488" s="4">
        <v>7</v>
      </c>
      <c r="K488" s="4" t="s">
        <v>27</v>
      </c>
      <c r="L488" s="4" t="s">
        <v>22</v>
      </c>
      <c r="M488" s="4">
        <v>2</v>
      </c>
    </row>
    <row r="489" spans="1:13" x14ac:dyDescent="0.3">
      <c r="A489" s="2">
        <v>487</v>
      </c>
      <c r="B489" s="2" t="s">
        <v>936</v>
      </c>
      <c r="C489" s="2" t="s">
        <v>249</v>
      </c>
      <c r="D489" s="2" t="s">
        <v>66</v>
      </c>
      <c r="E489" s="2" t="s">
        <v>73</v>
      </c>
      <c r="F489" s="2" t="s">
        <v>153</v>
      </c>
      <c r="G489" s="3">
        <v>96000</v>
      </c>
      <c r="H489" s="2" t="s">
        <v>26</v>
      </c>
      <c r="I489" s="2" t="s">
        <v>885</v>
      </c>
      <c r="J489" s="2">
        <v>17</v>
      </c>
      <c r="K489" s="2" t="s">
        <v>27</v>
      </c>
      <c r="L489" s="2" t="s">
        <v>22</v>
      </c>
      <c r="M489" s="2">
        <v>0</v>
      </c>
    </row>
    <row r="490" spans="1:13" x14ac:dyDescent="0.3">
      <c r="A490" s="4">
        <v>488</v>
      </c>
      <c r="B490" s="4" t="s">
        <v>937</v>
      </c>
      <c r="C490" s="4" t="s">
        <v>938</v>
      </c>
      <c r="D490" s="4" t="s">
        <v>101</v>
      </c>
      <c r="E490" s="4" t="s">
        <v>39</v>
      </c>
      <c r="F490" s="4" t="s">
        <v>126</v>
      </c>
      <c r="G490" s="5">
        <v>133000</v>
      </c>
      <c r="H490" s="4" t="s">
        <v>36</v>
      </c>
      <c r="I490" s="4" t="s">
        <v>885</v>
      </c>
      <c r="J490" s="4">
        <v>0</v>
      </c>
      <c r="K490" s="4" t="s">
        <v>21</v>
      </c>
      <c r="L490" s="4" t="s">
        <v>46</v>
      </c>
      <c r="M490" s="4">
        <v>1</v>
      </c>
    </row>
    <row r="491" spans="1:13" x14ac:dyDescent="0.3">
      <c r="A491" s="2">
        <v>489</v>
      </c>
      <c r="B491" s="2" t="s">
        <v>939</v>
      </c>
      <c r="C491" s="2" t="s">
        <v>940</v>
      </c>
      <c r="D491" s="2" t="s">
        <v>16</v>
      </c>
      <c r="E491" s="2" t="s">
        <v>73</v>
      </c>
      <c r="F491" s="2" t="s">
        <v>74</v>
      </c>
      <c r="G491" s="3">
        <v>40000</v>
      </c>
      <c r="H491" s="2" t="s">
        <v>36</v>
      </c>
      <c r="I491" s="2" t="s">
        <v>885</v>
      </c>
      <c r="J491" s="2">
        <v>0</v>
      </c>
      <c r="K491" s="2" t="s">
        <v>21</v>
      </c>
      <c r="L491" s="2" t="s">
        <v>22</v>
      </c>
      <c r="M491" s="2">
        <v>10</v>
      </c>
    </row>
    <row r="492" spans="1:13" x14ac:dyDescent="0.3">
      <c r="A492" s="4">
        <v>490</v>
      </c>
      <c r="B492" s="4" t="s">
        <v>941</v>
      </c>
      <c r="C492" s="4" t="s">
        <v>942</v>
      </c>
      <c r="D492" s="4" t="s">
        <v>16</v>
      </c>
      <c r="E492" s="4" t="s">
        <v>17</v>
      </c>
      <c r="F492" s="4" t="s">
        <v>42</v>
      </c>
      <c r="G492" s="5">
        <v>51000</v>
      </c>
      <c r="H492" s="4" t="s">
        <v>32</v>
      </c>
      <c r="I492" s="4" t="s">
        <v>885</v>
      </c>
      <c r="J492" s="4">
        <v>2</v>
      </c>
      <c r="K492" s="4" t="s">
        <v>27</v>
      </c>
      <c r="L492" s="4" t="s">
        <v>22</v>
      </c>
      <c r="M492" s="4">
        <v>6</v>
      </c>
    </row>
    <row r="493" spans="1:13" x14ac:dyDescent="0.3">
      <c r="A493" s="2">
        <v>491</v>
      </c>
      <c r="B493" s="2" t="s">
        <v>943</v>
      </c>
      <c r="C493" s="2" t="s">
        <v>138</v>
      </c>
      <c r="D493" s="2" t="s">
        <v>16</v>
      </c>
      <c r="E493" s="2" t="s">
        <v>73</v>
      </c>
      <c r="F493" s="2" t="s">
        <v>266</v>
      </c>
      <c r="G493" s="3">
        <v>89000</v>
      </c>
      <c r="H493" s="2" t="s">
        <v>32</v>
      </c>
      <c r="I493" s="2" t="s">
        <v>885</v>
      </c>
      <c r="J493" s="2">
        <v>17</v>
      </c>
      <c r="K493" s="2" t="s">
        <v>21</v>
      </c>
      <c r="L493" s="2" t="s">
        <v>22</v>
      </c>
      <c r="M493" s="2">
        <v>10</v>
      </c>
    </row>
    <row r="494" spans="1:13" x14ac:dyDescent="0.3">
      <c r="A494" s="4">
        <v>492</v>
      </c>
      <c r="B494" s="4" t="s">
        <v>944</v>
      </c>
      <c r="C494" s="4" t="s">
        <v>945</v>
      </c>
      <c r="D494" s="4" t="s">
        <v>90</v>
      </c>
      <c r="E494" s="4" t="s">
        <v>45</v>
      </c>
      <c r="F494" s="4" t="s">
        <v>113</v>
      </c>
      <c r="G494" s="5">
        <v>56000</v>
      </c>
      <c r="H494" s="4" t="s">
        <v>32</v>
      </c>
      <c r="I494" s="4" t="s">
        <v>885</v>
      </c>
      <c r="J494" s="4">
        <v>10</v>
      </c>
      <c r="K494" s="4" t="s">
        <v>27</v>
      </c>
      <c r="L494" s="4" t="s">
        <v>22</v>
      </c>
      <c r="M494" s="4">
        <v>6</v>
      </c>
    </row>
    <row r="495" spans="1:13" x14ac:dyDescent="0.3">
      <c r="A495" s="2">
        <v>493</v>
      </c>
      <c r="B495" s="2" t="s">
        <v>946</v>
      </c>
      <c r="C495" s="2" t="s">
        <v>922</v>
      </c>
      <c r="D495" s="2" t="s">
        <v>54</v>
      </c>
      <c r="E495" s="2" t="s">
        <v>55</v>
      </c>
      <c r="F495" s="2" t="s">
        <v>56</v>
      </c>
      <c r="G495" s="3">
        <v>66000</v>
      </c>
      <c r="H495" s="2" t="s">
        <v>32</v>
      </c>
      <c r="I495" s="2" t="s">
        <v>885</v>
      </c>
      <c r="J495" s="2">
        <v>16</v>
      </c>
      <c r="K495" s="2" t="s">
        <v>21</v>
      </c>
      <c r="L495" s="2" t="s">
        <v>22</v>
      </c>
      <c r="M495" s="2">
        <v>9</v>
      </c>
    </row>
    <row r="496" spans="1:13" x14ac:dyDescent="0.3">
      <c r="A496" s="4">
        <v>494</v>
      </c>
      <c r="B496" s="4" t="s">
        <v>947</v>
      </c>
      <c r="C496" s="4" t="s">
        <v>503</v>
      </c>
      <c r="D496" s="4" t="s">
        <v>54</v>
      </c>
      <c r="E496" s="4" t="s">
        <v>55</v>
      </c>
      <c r="F496" s="4" t="s">
        <v>247</v>
      </c>
      <c r="G496" s="5">
        <v>68000</v>
      </c>
      <c r="H496" s="4" t="s">
        <v>36</v>
      </c>
      <c r="I496" s="4" t="s">
        <v>885</v>
      </c>
      <c r="J496" s="4">
        <v>5</v>
      </c>
      <c r="K496" s="4" t="s">
        <v>21</v>
      </c>
      <c r="L496" s="4" t="s">
        <v>22</v>
      </c>
      <c r="M496" s="4">
        <v>0</v>
      </c>
    </row>
    <row r="497" spans="1:13" x14ac:dyDescent="0.3">
      <c r="A497" s="2">
        <v>495</v>
      </c>
      <c r="B497" s="2" t="s">
        <v>948</v>
      </c>
      <c r="C497" s="2" t="s">
        <v>949</v>
      </c>
      <c r="D497" s="2" t="s">
        <v>16</v>
      </c>
      <c r="E497" s="2" t="s">
        <v>73</v>
      </c>
      <c r="F497" s="2" t="s">
        <v>74</v>
      </c>
      <c r="G497" s="3">
        <v>44000</v>
      </c>
      <c r="H497" s="2" t="s">
        <v>32</v>
      </c>
      <c r="I497" s="2" t="s">
        <v>885</v>
      </c>
      <c r="J497" s="2">
        <v>11</v>
      </c>
      <c r="K497" s="2" t="s">
        <v>21</v>
      </c>
      <c r="L497" s="2" t="s">
        <v>57</v>
      </c>
      <c r="M497" s="2">
        <v>11</v>
      </c>
    </row>
    <row r="498" spans="1:13" x14ac:dyDescent="0.3">
      <c r="A498" s="4">
        <v>496</v>
      </c>
      <c r="B498" s="4" t="s">
        <v>950</v>
      </c>
      <c r="C498" s="4" t="s">
        <v>700</v>
      </c>
      <c r="D498" s="4" t="s">
        <v>90</v>
      </c>
      <c r="E498" s="4" t="s">
        <v>73</v>
      </c>
      <c r="F498" s="4" t="s">
        <v>113</v>
      </c>
      <c r="G498" s="5">
        <v>18000</v>
      </c>
      <c r="H498" s="4" t="s">
        <v>161</v>
      </c>
      <c r="I498" s="4" t="s">
        <v>885</v>
      </c>
      <c r="J498" s="4">
        <v>11</v>
      </c>
      <c r="K498" s="4" t="s">
        <v>27</v>
      </c>
      <c r="L498" s="4" t="s">
        <v>22</v>
      </c>
      <c r="M498" s="4">
        <v>5</v>
      </c>
    </row>
    <row r="499" spans="1:13" x14ac:dyDescent="0.3">
      <c r="A499" s="2">
        <v>497</v>
      </c>
      <c r="B499" s="2" t="s">
        <v>951</v>
      </c>
      <c r="C499" s="2" t="s">
        <v>952</v>
      </c>
      <c r="D499" s="2" t="s">
        <v>66</v>
      </c>
      <c r="E499" s="2" t="s">
        <v>45</v>
      </c>
      <c r="F499" s="2" t="s">
        <v>153</v>
      </c>
      <c r="G499" s="3">
        <v>64000</v>
      </c>
      <c r="H499" s="2" t="s">
        <v>19</v>
      </c>
      <c r="I499" s="2" t="s">
        <v>885</v>
      </c>
      <c r="J499" s="2">
        <v>16</v>
      </c>
      <c r="K499" s="2" t="s">
        <v>21</v>
      </c>
      <c r="L499" s="2" t="s">
        <v>57</v>
      </c>
      <c r="M499" s="2">
        <v>5</v>
      </c>
    </row>
    <row r="500" spans="1:13" x14ac:dyDescent="0.3">
      <c r="A500" s="4">
        <v>498</v>
      </c>
      <c r="B500" s="4" t="s">
        <v>953</v>
      </c>
      <c r="C500" s="4" t="s">
        <v>836</v>
      </c>
      <c r="D500" s="4" t="s">
        <v>30</v>
      </c>
      <c r="E500" s="4" t="s">
        <v>55</v>
      </c>
      <c r="F500" s="4" t="s">
        <v>77</v>
      </c>
      <c r="G500" s="5">
        <v>22000</v>
      </c>
      <c r="H500" s="4" t="s">
        <v>32</v>
      </c>
      <c r="I500" s="4" t="s">
        <v>885</v>
      </c>
      <c r="J500" s="4">
        <v>0</v>
      </c>
      <c r="K500" s="4" t="s">
        <v>27</v>
      </c>
      <c r="L500" s="4" t="s">
        <v>46</v>
      </c>
      <c r="M500" s="4">
        <v>9</v>
      </c>
    </row>
    <row r="501" spans="1:13" x14ac:dyDescent="0.3">
      <c r="A501" s="2">
        <v>499</v>
      </c>
      <c r="B501" s="2" t="s">
        <v>954</v>
      </c>
      <c r="C501" s="2" t="s">
        <v>955</v>
      </c>
      <c r="D501" s="2" t="s">
        <v>54</v>
      </c>
      <c r="E501" s="2" t="s">
        <v>55</v>
      </c>
      <c r="F501" s="2" t="s">
        <v>158</v>
      </c>
      <c r="G501" s="3">
        <v>64000</v>
      </c>
      <c r="H501" s="2" t="s">
        <v>32</v>
      </c>
      <c r="I501" s="2" t="s">
        <v>885</v>
      </c>
      <c r="J501" s="2">
        <v>12</v>
      </c>
      <c r="K501" s="2" t="s">
        <v>21</v>
      </c>
      <c r="L501" s="2" t="s">
        <v>22</v>
      </c>
      <c r="M501" s="2">
        <v>3</v>
      </c>
    </row>
    <row r="502" spans="1:13" x14ac:dyDescent="0.3">
      <c r="A502" s="4">
        <v>500</v>
      </c>
      <c r="B502" s="4" t="s">
        <v>956</v>
      </c>
      <c r="C502" s="4" t="s">
        <v>957</v>
      </c>
      <c r="D502" s="4" t="s">
        <v>90</v>
      </c>
      <c r="E502" s="4" t="s">
        <v>60</v>
      </c>
      <c r="F502" s="4" t="s">
        <v>105</v>
      </c>
      <c r="G502" s="5">
        <v>38000</v>
      </c>
      <c r="H502" s="4" t="s">
        <v>36</v>
      </c>
      <c r="I502" s="4" t="s">
        <v>885</v>
      </c>
      <c r="J502" s="4">
        <v>1</v>
      </c>
      <c r="K502" s="4" t="s">
        <v>21</v>
      </c>
      <c r="L502" s="4" t="s">
        <v>22</v>
      </c>
      <c r="M502" s="4">
        <v>9</v>
      </c>
    </row>
    <row r="503" spans="1:13" x14ac:dyDescent="0.3">
      <c r="A503" s="2">
        <v>501</v>
      </c>
      <c r="B503" s="2" t="s">
        <v>958</v>
      </c>
      <c r="C503" s="2" t="s">
        <v>893</v>
      </c>
      <c r="D503" s="2" t="s">
        <v>16</v>
      </c>
      <c r="E503" s="2" t="s">
        <v>60</v>
      </c>
      <c r="F503" s="2" t="s">
        <v>18</v>
      </c>
      <c r="G503" s="3">
        <v>34000</v>
      </c>
      <c r="H503" s="2" t="s">
        <v>36</v>
      </c>
      <c r="I503" s="2" t="s">
        <v>959</v>
      </c>
      <c r="J503" s="2">
        <v>4</v>
      </c>
      <c r="K503" s="2" t="s">
        <v>21</v>
      </c>
      <c r="L503" s="2" t="s">
        <v>57</v>
      </c>
      <c r="M503" s="2">
        <v>10</v>
      </c>
    </row>
    <row r="504" spans="1:13" x14ac:dyDescent="0.3">
      <c r="A504" s="4">
        <v>502</v>
      </c>
      <c r="B504" s="4" t="s">
        <v>960</v>
      </c>
      <c r="C504" s="4" t="s">
        <v>961</v>
      </c>
      <c r="D504" s="4" t="s">
        <v>66</v>
      </c>
      <c r="E504" s="4" t="s">
        <v>17</v>
      </c>
      <c r="F504" s="4" t="s">
        <v>121</v>
      </c>
      <c r="G504" s="5">
        <v>34000</v>
      </c>
      <c r="H504" s="4" t="s">
        <v>161</v>
      </c>
      <c r="I504" s="4" t="s">
        <v>959</v>
      </c>
      <c r="J504" s="4">
        <v>9</v>
      </c>
      <c r="K504" s="4" t="s">
        <v>21</v>
      </c>
      <c r="L504" s="4" t="s">
        <v>22</v>
      </c>
      <c r="M504" s="4">
        <v>3</v>
      </c>
    </row>
    <row r="505" spans="1:13" x14ac:dyDescent="0.3">
      <c r="A505" s="2">
        <v>503</v>
      </c>
      <c r="B505" s="2" t="s">
        <v>962</v>
      </c>
      <c r="C505" s="2" t="s">
        <v>957</v>
      </c>
      <c r="D505" s="2" t="s">
        <v>16</v>
      </c>
      <c r="E505" s="2" t="s">
        <v>17</v>
      </c>
      <c r="F505" s="2" t="s">
        <v>74</v>
      </c>
      <c r="G505" s="3">
        <v>30000</v>
      </c>
      <c r="H505" s="2" t="s">
        <v>19</v>
      </c>
      <c r="I505" s="2" t="s">
        <v>959</v>
      </c>
      <c r="J505" s="2">
        <v>4</v>
      </c>
      <c r="K505" s="2" t="s">
        <v>27</v>
      </c>
      <c r="L505" s="2" t="s">
        <v>22</v>
      </c>
      <c r="M505" s="2">
        <v>6</v>
      </c>
    </row>
    <row r="506" spans="1:13" x14ac:dyDescent="0.3">
      <c r="A506" s="4">
        <v>504</v>
      </c>
      <c r="B506" s="4" t="s">
        <v>963</v>
      </c>
      <c r="C506" s="4" t="s">
        <v>964</v>
      </c>
      <c r="D506" s="4" t="s">
        <v>59</v>
      </c>
      <c r="E506" s="4" t="s">
        <v>50</v>
      </c>
      <c r="F506" s="4" t="s">
        <v>61</v>
      </c>
      <c r="G506" s="5">
        <v>86000</v>
      </c>
      <c r="H506" s="4" t="s">
        <v>19</v>
      </c>
      <c r="I506" s="4" t="s">
        <v>959</v>
      </c>
      <c r="J506" s="4">
        <v>2</v>
      </c>
      <c r="K506" s="4" t="s">
        <v>27</v>
      </c>
      <c r="L506" s="4" t="s">
        <v>46</v>
      </c>
      <c r="M506" s="4">
        <v>9</v>
      </c>
    </row>
    <row r="507" spans="1:13" x14ac:dyDescent="0.3">
      <c r="A507" s="2">
        <v>505</v>
      </c>
      <c r="B507" s="2" t="s">
        <v>965</v>
      </c>
      <c r="C507" s="2" t="s">
        <v>966</v>
      </c>
      <c r="D507" s="2" t="s">
        <v>59</v>
      </c>
      <c r="E507" s="2" t="s">
        <v>25</v>
      </c>
      <c r="F507" s="2" t="s">
        <v>80</v>
      </c>
      <c r="G507" s="3">
        <v>61000</v>
      </c>
      <c r="H507" s="2" t="s">
        <v>36</v>
      </c>
      <c r="I507" s="2" t="s">
        <v>959</v>
      </c>
      <c r="J507" s="2">
        <v>1</v>
      </c>
      <c r="K507" s="2" t="s">
        <v>21</v>
      </c>
      <c r="L507" s="2" t="s">
        <v>22</v>
      </c>
      <c r="M507" s="2">
        <v>2</v>
      </c>
    </row>
    <row r="508" spans="1:13" x14ac:dyDescent="0.3">
      <c r="A508" s="4">
        <v>506</v>
      </c>
      <c r="B508" s="4" t="s">
        <v>967</v>
      </c>
      <c r="C508" s="4" t="s">
        <v>968</v>
      </c>
      <c r="D508" s="4" t="s">
        <v>54</v>
      </c>
      <c r="E508" s="4" t="s">
        <v>17</v>
      </c>
      <c r="F508" s="4" t="s">
        <v>200</v>
      </c>
      <c r="G508" s="5">
        <v>49000</v>
      </c>
      <c r="H508" s="4" t="s">
        <v>19</v>
      </c>
      <c r="I508" s="4" t="s">
        <v>959</v>
      </c>
      <c r="J508" s="4">
        <v>6</v>
      </c>
      <c r="K508" s="4" t="s">
        <v>27</v>
      </c>
      <c r="L508" s="4" t="s">
        <v>22</v>
      </c>
      <c r="M508" s="4">
        <v>6</v>
      </c>
    </row>
    <row r="509" spans="1:13" x14ac:dyDescent="0.3">
      <c r="A509" s="2">
        <v>507</v>
      </c>
      <c r="B509" s="2" t="s">
        <v>969</v>
      </c>
      <c r="C509" s="2" t="s">
        <v>949</v>
      </c>
      <c r="D509" s="2" t="s">
        <v>66</v>
      </c>
      <c r="E509" s="2" t="s">
        <v>39</v>
      </c>
      <c r="F509" s="2" t="s">
        <v>67</v>
      </c>
      <c r="G509" s="3">
        <v>49000</v>
      </c>
      <c r="H509" s="2" t="s">
        <v>161</v>
      </c>
      <c r="I509" s="2" t="s">
        <v>959</v>
      </c>
      <c r="J509" s="2">
        <v>12</v>
      </c>
      <c r="K509" s="2" t="s">
        <v>21</v>
      </c>
      <c r="L509" s="2" t="s">
        <v>22</v>
      </c>
      <c r="M509" s="2">
        <v>4</v>
      </c>
    </row>
    <row r="510" spans="1:13" x14ac:dyDescent="0.3">
      <c r="A510" s="4">
        <v>508</v>
      </c>
      <c r="B510" s="4" t="s">
        <v>970</v>
      </c>
      <c r="C510" s="4" t="s">
        <v>971</v>
      </c>
      <c r="D510" s="4" t="s">
        <v>59</v>
      </c>
      <c r="E510" s="4" t="s">
        <v>60</v>
      </c>
      <c r="F510" s="4" t="s">
        <v>85</v>
      </c>
      <c r="G510" s="5">
        <v>27000</v>
      </c>
      <c r="H510" s="4" t="s">
        <v>19</v>
      </c>
      <c r="I510" s="4" t="s">
        <v>959</v>
      </c>
      <c r="J510" s="4">
        <v>0</v>
      </c>
      <c r="K510" s="4" t="s">
        <v>21</v>
      </c>
      <c r="L510" s="4" t="s">
        <v>46</v>
      </c>
      <c r="M510" s="4">
        <v>6</v>
      </c>
    </row>
    <row r="511" spans="1:13" x14ac:dyDescent="0.3">
      <c r="A511" s="2">
        <v>509</v>
      </c>
      <c r="B511" s="2" t="s">
        <v>972</v>
      </c>
      <c r="C511" s="2" t="s">
        <v>973</v>
      </c>
      <c r="D511" s="2" t="s">
        <v>101</v>
      </c>
      <c r="E511" s="2" t="s">
        <v>73</v>
      </c>
      <c r="F511" s="2" t="s">
        <v>147</v>
      </c>
      <c r="G511" s="3">
        <v>39000</v>
      </c>
      <c r="H511" s="2" t="s">
        <v>36</v>
      </c>
      <c r="I511" s="2" t="s">
        <v>959</v>
      </c>
      <c r="J511" s="2">
        <v>17</v>
      </c>
      <c r="K511" s="2" t="s">
        <v>21</v>
      </c>
      <c r="L511" s="2" t="s">
        <v>22</v>
      </c>
      <c r="M511" s="2">
        <v>3</v>
      </c>
    </row>
    <row r="512" spans="1:13" x14ac:dyDescent="0.3">
      <c r="A512" s="4">
        <v>510</v>
      </c>
      <c r="B512" s="4" t="s">
        <v>974</v>
      </c>
      <c r="C512" s="4" t="s">
        <v>975</v>
      </c>
      <c r="D512" s="4" t="s">
        <v>54</v>
      </c>
      <c r="E512" s="4" t="s">
        <v>50</v>
      </c>
      <c r="F512" s="4" t="s">
        <v>247</v>
      </c>
      <c r="G512" s="5">
        <v>47000</v>
      </c>
      <c r="H512" s="4" t="s">
        <v>32</v>
      </c>
      <c r="I512" s="4" t="s">
        <v>959</v>
      </c>
      <c r="J512" s="4">
        <v>10</v>
      </c>
      <c r="K512" s="4" t="s">
        <v>27</v>
      </c>
      <c r="L512" s="4" t="s">
        <v>22</v>
      </c>
      <c r="M512" s="4">
        <v>11</v>
      </c>
    </row>
    <row r="513" spans="1:13" x14ac:dyDescent="0.3">
      <c r="A513" s="2">
        <v>511</v>
      </c>
      <c r="B513" s="2" t="s">
        <v>976</v>
      </c>
      <c r="C513" s="2" t="s">
        <v>428</v>
      </c>
      <c r="D513" s="2" t="s">
        <v>101</v>
      </c>
      <c r="E513" s="2" t="s">
        <v>60</v>
      </c>
      <c r="F513" s="2" t="s">
        <v>147</v>
      </c>
      <c r="G513" s="3">
        <v>101000</v>
      </c>
      <c r="H513" s="2" t="s">
        <v>26</v>
      </c>
      <c r="I513" s="2" t="s">
        <v>959</v>
      </c>
      <c r="J513" s="2">
        <v>3</v>
      </c>
      <c r="K513" s="2" t="s">
        <v>21</v>
      </c>
      <c r="L513" s="2" t="s">
        <v>22</v>
      </c>
      <c r="M513" s="2">
        <v>0</v>
      </c>
    </row>
    <row r="514" spans="1:13" x14ac:dyDescent="0.3">
      <c r="A514" s="4">
        <v>512</v>
      </c>
      <c r="B514" s="4" t="s">
        <v>977</v>
      </c>
      <c r="C514" s="4" t="s">
        <v>661</v>
      </c>
      <c r="D514" s="4" t="s">
        <v>49</v>
      </c>
      <c r="E514" s="4" t="s">
        <v>60</v>
      </c>
      <c r="F514" s="4" t="s">
        <v>189</v>
      </c>
      <c r="G514" s="5">
        <v>21000</v>
      </c>
      <c r="H514" s="4" t="s">
        <v>32</v>
      </c>
      <c r="I514" s="4" t="s">
        <v>959</v>
      </c>
      <c r="J514" s="4">
        <v>9</v>
      </c>
      <c r="K514" s="4" t="s">
        <v>27</v>
      </c>
      <c r="L514" s="4" t="s">
        <v>22</v>
      </c>
      <c r="M514" s="4">
        <v>7</v>
      </c>
    </row>
    <row r="515" spans="1:13" x14ac:dyDescent="0.3">
      <c r="A515" s="2">
        <v>513</v>
      </c>
      <c r="B515" s="2" t="s">
        <v>978</v>
      </c>
      <c r="C515" s="2" t="s">
        <v>391</v>
      </c>
      <c r="D515" s="2" t="s">
        <v>49</v>
      </c>
      <c r="E515" s="2" t="s">
        <v>25</v>
      </c>
      <c r="F515" s="2" t="s">
        <v>70</v>
      </c>
      <c r="G515" s="3">
        <v>22000</v>
      </c>
      <c r="H515" s="2" t="s">
        <v>26</v>
      </c>
      <c r="I515" s="2" t="s">
        <v>959</v>
      </c>
      <c r="J515" s="2">
        <v>14</v>
      </c>
      <c r="K515" s="2" t="s">
        <v>27</v>
      </c>
      <c r="L515" s="2" t="s">
        <v>22</v>
      </c>
      <c r="M515" s="2">
        <v>4</v>
      </c>
    </row>
    <row r="516" spans="1:13" x14ac:dyDescent="0.3">
      <c r="A516" s="4">
        <v>514</v>
      </c>
      <c r="B516" s="4" t="s">
        <v>979</v>
      </c>
      <c r="C516" s="4" t="s">
        <v>980</v>
      </c>
      <c r="D516" s="4" t="s">
        <v>30</v>
      </c>
      <c r="E516" s="4" t="s">
        <v>60</v>
      </c>
      <c r="F516" s="4" t="s">
        <v>31</v>
      </c>
      <c r="G516" s="5">
        <v>68000</v>
      </c>
      <c r="H516" s="4" t="s">
        <v>36</v>
      </c>
      <c r="I516" s="4" t="s">
        <v>959</v>
      </c>
      <c r="J516" s="4">
        <v>11</v>
      </c>
      <c r="K516" s="4" t="s">
        <v>21</v>
      </c>
      <c r="L516" s="4" t="s">
        <v>22</v>
      </c>
      <c r="M516" s="4">
        <v>11</v>
      </c>
    </row>
    <row r="517" spans="1:13" x14ac:dyDescent="0.3">
      <c r="A517" s="2">
        <v>515</v>
      </c>
      <c r="B517" s="2" t="s">
        <v>981</v>
      </c>
      <c r="C517" s="2" t="s">
        <v>982</v>
      </c>
      <c r="D517" s="2" t="s">
        <v>90</v>
      </c>
      <c r="E517" s="2" t="s">
        <v>25</v>
      </c>
      <c r="F517" s="2" t="s">
        <v>98</v>
      </c>
      <c r="G517" s="3">
        <v>48000</v>
      </c>
      <c r="H517" s="2" t="s">
        <v>36</v>
      </c>
      <c r="I517" s="2" t="s">
        <v>959</v>
      </c>
      <c r="J517" s="2">
        <v>8</v>
      </c>
      <c r="K517" s="2" t="s">
        <v>21</v>
      </c>
      <c r="L517" s="2" t="s">
        <v>22</v>
      </c>
      <c r="M517" s="2">
        <v>11</v>
      </c>
    </row>
    <row r="518" spans="1:13" x14ac:dyDescent="0.3">
      <c r="A518" s="4">
        <v>516</v>
      </c>
      <c r="B518" s="4" t="s">
        <v>983</v>
      </c>
      <c r="C518" s="4" t="s">
        <v>272</v>
      </c>
      <c r="D518" s="4" t="s">
        <v>90</v>
      </c>
      <c r="E518" s="4" t="s">
        <v>50</v>
      </c>
      <c r="F518" s="4" t="s">
        <v>98</v>
      </c>
      <c r="G518" s="5">
        <v>35000</v>
      </c>
      <c r="H518" s="4" t="s">
        <v>19</v>
      </c>
      <c r="I518" s="4" t="s">
        <v>959</v>
      </c>
      <c r="J518" s="4">
        <v>9</v>
      </c>
      <c r="K518" s="4" t="s">
        <v>27</v>
      </c>
      <c r="L518" s="4" t="s">
        <v>22</v>
      </c>
      <c r="M518" s="4">
        <v>9</v>
      </c>
    </row>
    <row r="519" spans="1:13" x14ac:dyDescent="0.3">
      <c r="A519" s="2">
        <v>517</v>
      </c>
      <c r="B519" s="2" t="s">
        <v>984</v>
      </c>
      <c r="C519" s="2" t="s">
        <v>595</v>
      </c>
      <c r="D519" s="2" t="s">
        <v>16</v>
      </c>
      <c r="E519" s="2" t="s">
        <v>45</v>
      </c>
      <c r="F519" s="2" t="s">
        <v>42</v>
      </c>
      <c r="G519" s="3">
        <v>81000</v>
      </c>
      <c r="H519" s="2" t="s">
        <v>36</v>
      </c>
      <c r="I519" s="2" t="s">
        <v>959</v>
      </c>
      <c r="J519" s="2">
        <v>7</v>
      </c>
      <c r="K519" s="2" t="s">
        <v>21</v>
      </c>
      <c r="L519" s="2" t="s">
        <v>57</v>
      </c>
      <c r="M519" s="2">
        <v>8</v>
      </c>
    </row>
    <row r="520" spans="1:13" x14ac:dyDescent="0.3">
      <c r="A520" s="4">
        <v>518</v>
      </c>
      <c r="B520" s="4" t="s">
        <v>985</v>
      </c>
      <c r="C520" s="4" t="s">
        <v>331</v>
      </c>
      <c r="D520" s="4" t="s">
        <v>90</v>
      </c>
      <c r="E520" s="4" t="s">
        <v>50</v>
      </c>
      <c r="F520" s="4" t="s">
        <v>105</v>
      </c>
      <c r="G520" s="5">
        <v>16000</v>
      </c>
      <c r="H520" s="4" t="s">
        <v>36</v>
      </c>
      <c r="I520" s="4" t="s">
        <v>959</v>
      </c>
      <c r="J520" s="4">
        <v>15</v>
      </c>
      <c r="K520" s="4" t="s">
        <v>21</v>
      </c>
      <c r="L520" s="4" t="s">
        <v>22</v>
      </c>
      <c r="M520" s="4">
        <v>2</v>
      </c>
    </row>
    <row r="521" spans="1:13" x14ac:dyDescent="0.3">
      <c r="A521" s="2">
        <v>519</v>
      </c>
      <c r="B521" s="2" t="s">
        <v>986</v>
      </c>
      <c r="C521" s="2" t="s">
        <v>582</v>
      </c>
      <c r="D521" s="2" t="s">
        <v>66</v>
      </c>
      <c r="E521" s="2" t="s">
        <v>17</v>
      </c>
      <c r="F521" s="2" t="s">
        <v>279</v>
      </c>
      <c r="G521" s="3">
        <v>107000</v>
      </c>
      <c r="H521" s="2" t="s">
        <v>32</v>
      </c>
      <c r="I521" s="2" t="s">
        <v>959</v>
      </c>
      <c r="J521" s="2">
        <v>5</v>
      </c>
      <c r="K521" s="2" t="s">
        <v>21</v>
      </c>
      <c r="L521" s="2" t="s">
        <v>22</v>
      </c>
      <c r="M521" s="2">
        <v>11</v>
      </c>
    </row>
    <row r="522" spans="1:13" x14ac:dyDescent="0.3">
      <c r="A522" s="4">
        <v>520</v>
      </c>
      <c r="B522" s="4" t="s">
        <v>987</v>
      </c>
      <c r="C522" s="4" t="s">
        <v>945</v>
      </c>
      <c r="D522" s="4" t="s">
        <v>16</v>
      </c>
      <c r="E522" s="4" t="s">
        <v>17</v>
      </c>
      <c r="F522" s="4" t="s">
        <v>18</v>
      </c>
      <c r="G522" s="5">
        <v>87000</v>
      </c>
      <c r="H522" s="4" t="s">
        <v>36</v>
      </c>
      <c r="I522" s="4" t="s">
        <v>959</v>
      </c>
      <c r="J522" s="4">
        <v>11</v>
      </c>
      <c r="K522" s="4" t="s">
        <v>21</v>
      </c>
      <c r="L522" s="4" t="s">
        <v>22</v>
      </c>
      <c r="M522" s="4">
        <v>11</v>
      </c>
    </row>
    <row r="523" spans="1:13" x14ac:dyDescent="0.3">
      <c r="A523" s="2">
        <v>521</v>
      </c>
      <c r="B523" s="2" t="s">
        <v>988</v>
      </c>
      <c r="C523" s="2" t="s">
        <v>989</v>
      </c>
      <c r="D523" s="2" t="s">
        <v>16</v>
      </c>
      <c r="E523" s="2" t="s">
        <v>25</v>
      </c>
      <c r="F523" s="2" t="s">
        <v>266</v>
      </c>
      <c r="G523" s="3">
        <v>60000</v>
      </c>
      <c r="H523" s="2" t="s">
        <v>32</v>
      </c>
      <c r="I523" s="2" t="s">
        <v>959</v>
      </c>
      <c r="J523" s="2">
        <v>5</v>
      </c>
      <c r="K523" s="2" t="s">
        <v>21</v>
      </c>
      <c r="L523" s="2" t="s">
        <v>46</v>
      </c>
      <c r="M523" s="2">
        <v>10</v>
      </c>
    </row>
    <row r="524" spans="1:13" x14ac:dyDescent="0.3">
      <c r="A524" s="4">
        <v>522</v>
      </c>
      <c r="B524" s="4" t="s">
        <v>990</v>
      </c>
      <c r="C524" s="4" t="s">
        <v>420</v>
      </c>
      <c r="D524" s="4" t="s">
        <v>101</v>
      </c>
      <c r="E524" s="4" t="s">
        <v>73</v>
      </c>
      <c r="F524" s="4" t="s">
        <v>102</v>
      </c>
      <c r="G524" s="5">
        <v>133000</v>
      </c>
      <c r="H524" s="4" t="s">
        <v>36</v>
      </c>
      <c r="I524" s="4" t="s">
        <v>959</v>
      </c>
      <c r="J524" s="4">
        <v>5</v>
      </c>
      <c r="K524" s="4" t="s">
        <v>27</v>
      </c>
      <c r="L524" s="4" t="s">
        <v>22</v>
      </c>
      <c r="M524" s="4">
        <v>4</v>
      </c>
    </row>
    <row r="525" spans="1:13" x14ac:dyDescent="0.3">
      <c r="A525" s="2">
        <v>523</v>
      </c>
      <c r="B525" s="2" t="s">
        <v>991</v>
      </c>
      <c r="C525" s="2" t="s">
        <v>547</v>
      </c>
      <c r="D525" s="2" t="s">
        <v>66</v>
      </c>
      <c r="E525" s="2" t="s">
        <v>45</v>
      </c>
      <c r="F525" s="2" t="s">
        <v>121</v>
      </c>
      <c r="G525" s="3">
        <v>48000</v>
      </c>
      <c r="H525" s="2" t="s">
        <v>19</v>
      </c>
      <c r="I525" s="2" t="s">
        <v>959</v>
      </c>
      <c r="J525" s="2">
        <v>13</v>
      </c>
      <c r="K525" s="2" t="s">
        <v>21</v>
      </c>
      <c r="L525" s="2" t="s">
        <v>57</v>
      </c>
      <c r="M525" s="2">
        <v>12</v>
      </c>
    </row>
    <row r="526" spans="1:13" x14ac:dyDescent="0.3">
      <c r="A526" s="4">
        <v>524</v>
      </c>
      <c r="B526" s="4" t="s">
        <v>992</v>
      </c>
      <c r="C526" s="4" t="s">
        <v>993</v>
      </c>
      <c r="D526" s="4" t="s">
        <v>30</v>
      </c>
      <c r="E526" s="4" t="s">
        <v>50</v>
      </c>
      <c r="F526" s="4" t="s">
        <v>77</v>
      </c>
      <c r="G526" s="5">
        <v>70000</v>
      </c>
      <c r="H526" s="4" t="s">
        <v>26</v>
      </c>
      <c r="I526" s="4" t="s">
        <v>959</v>
      </c>
      <c r="J526" s="4">
        <v>1</v>
      </c>
      <c r="K526" s="4" t="s">
        <v>21</v>
      </c>
      <c r="L526" s="4" t="s">
        <v>22</v>
      </c>
      <c r="M526" s="4">
        <v>9</v>
      </c>
    </row>
    <row r="527" spans="1:13" x14ac:dyDescent="0.3">
      <c r="A527" s="2">
        <v>525</v>
      </c>
      <c r="B527" s="2" t="s">
        <v>994</v>
      </c>
      <c r="C527" s="2" t="s">
        <v>568</v>
      </c>
      <c r="D527" s="2" t="s">
        <v>66</v>
      </c>
      <c r="E527" s="2" t="s">
        <v>39</v>
      </c>
      <c r="F527" s="2" t="s">
        <v>121</v>
      </c>
      <c r="G527" s="3">
        <v>25000</v>
      </c>
      <c r="H527" s="2" t="s">
        <v>36</v>
      </c>
      <c r="I527" s="2" t="s">
        <v>959</v>
      </c>
      <c r="J527" s="2">
        <v>14</v>
      </c>
      <c r="K527" s="2" t="s">
        <v>21</v>
      </c>
      <c r="L527" s="2" t="s">
        <v>57</v>
      </c>
      <c r="M527" s="2">
        <v>0</v>
      </c>
    </row>
    <row r="528" spans="1:13" x14ac:dyDescent="0.3">
      <c r="A528" s="4">
        <v>526</v>
      </c>
      <c r="B528" s="4" t="s">
        <v>995</v>
      </c>
      <c r="C528" s="4" t="s">
        <v>996</v>
      </c>
      <c r="D528" s="4" t="s">
        <v>16</v>
      </c>
      <c r="E528" s="4" t="s">
        <v>45</v>
      </c>
      <c r="F528" s="4" t="s">
        <v>266</v>
      </c>
      <c r="G528" s="5">
        <v>68000</v>
      </c>
      <c r="H528" s="4" t="s">
        <v>32</v>
      </c>
      <c r="I528" s="4" t="s">
        <v>959</v>
      </c>
      <c r="J528" s="4">
        <v>16</v>
      </c>
      <c r="K528" s="4" t="s">
        <v>27</v>
      </c>
      <c r="L528" s="4" t="s">
        <v>22</v>
      </c>
      <c r="M528" s="4">
        <v>10</v>
      </c>
    </row>
    <row r="529" spans="1:13" x14ac:dyDescent="0.3">
      <c r="A529" s="2">
        <v>527</v>
      </c>
      <c r="B529" s="2" t="s">
        <v>997</v>
      </c>
      <c r="C529" s="2" t="s">
        <v>998</v>
      </c>
      <c r="D529" s="2" t="s">
        <v>16</v>
      </c>
      <c r="E529" s="2" t="s">
        <v>25</v>
      </c>
      <c r="F529" s="2" t="s">
        <v>266</v>
      </c>
      <c r="G529" s="3">
        <v>61000</v>
      </c>
      <c r="H529" s="2" t="s">
        <v>19</v>
      </c>
      <c r="I529" s="2" t="s">
        <v>959</v>
      </c>
      <c r="J529" s="2">
        <v>18</v>
      </c>
      <c r="K529" s="2" t="s">
        <v>27</v>
      </c>
      <c r="L529" s="2" t="s">
        <v>22</v>
      </c>
      <c r="M529" s="2">
        <v>8</v>
      </c>
    </row>
    <row r="530" spans="1:13" x14ac:dyDescent="0.3">
      <c r="A530" s="4">
        <v>528</v>
      </c>
      <c r="B530" s="4" t="s">
        <v>999</v>
      </c>
      <c r="C530" s="4" t="s">
        <v>1000</v>
      </c>
      <c r="D530" s="4" t="s">
        <v>54</v>
      </c>
      <c r="E530" s="4" t="s">
        <v>55</v>
      </c>
      <c r="F530" s="4" t="s">
        <v>247</v>
      </c>
      <c r="G530" s="5">
        <v>22000</v>
      </c>
      <c r="H530" s="4" t="s">
        <v>36</v>
      </c>
      <c r="I530" s="4" t="s">
        <v>959</v>
      </c>
      <c r="J530" s="4">
        <v>3</v>
      </c>
      <c r="K530" s="4" t="s">
        <v>27</v>
      </c>
      <c r="L530" s="4" t="s">
        <v>46</v>
      </c>
      <c r="M530" s="4">
        <v>8</v>
      </c>
    </row>
    <row r="531" spans="1:13" x14ac:dyDescent="0.3">
      <c r="A531" s="2">
        <v>529</v>
      </c>
      <c r="B531" s="2" t="s">
        <v>1001</v>
      </c>
      <c r="C531" s="2" t="s">
        <v>1002</v>
      </c>
      <c r="D531" s="2" t="s">
        <v>54</v>
      </c>
      <c r="E531" s="2" t="s">
        <v>55</v>
      </c>
      <c r="F531" s="2" t="s">
        <v>247</v>
      </c>
      <c r="G531" s="3">
        <v>22000</v>
      </c>
      <c r="H531" s="2" t="s">
        <v>19</v>
      </c>
      <c r="I531" s="2" t="s">
        <v>959</v>
      </c>
      <c r="J531" s="2">
        <v>6</v>
      </c>
      <c r="K531" s="2" t="s">
        <v>27</v>
      </c>
      <c r="L531" s="2" t="s">
        <v>46</v>
      </c>
      <c r="M531" s="2">
        <v>4</v>
      </c>
    </row>
    <row r="532" spans="1:13" x14ac:dyDescent="0.3">
      <c r="A532" s="4">
        <v>530</v>
      </c>
      <c r="B532" s="4" t="s">
        <v>1003</v>
      </c>
      <c r="C532" s="4" t="s">
        <v>624</v>
      </c>
      <c r="D532" s="4" t="s">
        <v>59</v>
      </c>
      <c r="E532" s="4" t="s">
        <v>25</v>
      </c>
      <c r="F532" s="4" t="s">
        <v>61</v>
      </c>
      <c r="G532" s="5">
        <v>93000</v>
      </c>
      <c r="H532" s="4" t="s">
        <v>19</v>
      </c>
      <c r="I532" s="4" t="s">
        <v>959</v>
      </c>
      <c r="J532" s="4">
        <v>10</v>
      </c>
      <c r="K532" s="4" t="s">
        <v>21</v>
      </c>
      <c r="L532" s="4" t="s">
        <v>22</v>
      </c>
      <c r="M532" s="4">
        <v>3</v>
      </c>
    </row>
    <row r="533" spans="1:13" x14ac:dyDescent="0.3">
      <c r="A533" s="2">
        <v>531</v>
      </c>
      <c r="B533" s="2" t="s">
        <v>1004</v>
      </c>
      <c r="C533" s="2" t="s">
        <v>1005</v>
      </c>
      <c r="D533" s="2" t="s">
        <v>90</v>
      </c>
      <c r="E533" s="2" t="s">
        <v>60</v>
      </c>
      <c r="F533" s="2" t="s">
        <v>113</v>
      </c>
      <c r="G533" s="3">
        <v>21000</v>
      </c>
      <c r="H533" s="2" t="s">
        <v>19</v>
      </c>
      <c r="I533" s="2" t="s">
        <v>959</v>
      </c>
      <c r="J533" s="2">
        <v>14</v>
      </c>
      <c r="K533" s="2" t="s">
        <v>21</v>
      </c>
      <c r="L533" s="2" t="s">
        <v>22</v>
      </c>
      <c r="M533" s="2">
        <v>9</v>
      </c>
    </row>
    <row r="534" spans="1:13" x14ac:dyDescent="0.3">
      <c r="A534" s="4">
        <v>532</v>
      </c>
      <c r="B534" s="4" t="s">
        <v>1006</v>
      </c>
      <c r="C534" s="4" t="s">
        <v>1007</v>
      </c>
      <c r="D534" s="4" t="s">
        <v>49</v>
      </c>
      <c r="E534" s="4" t="s">
        <v>73</v>
      </c>
      <c r="F534" s="4" t="s">
        <v>189</v>
      </c>
      <c r="G534" s="5">
        <v>20000</v>
      </c>
      <c r="H534" s="4" t="s">
        <v>19</v>
      </c>
      <c r="I534" s="4" t="s">
        <v>959</v>
      </c>
      <c r="J534" s="4">
        <v>3</v>
      </c>
      <c r="K534" s="4" t="s">
        <v>21</v>
      </c>
      <c r="L534" s="4" t="s">
        <v>46</v>
      </c>
      <c r="M534" s="4">
        <v>10</v>
      </c>
    </row>
    <row r="535" spans="1:13" x14ac:dyDescent="0.3">
      <c r="A535" s="2">
        <v>533</v>
      </c>
      <c r="B535" s="2" t="s">
        <v>1008</v>
      </c>
      <c r="C535" s="2" t="s">
        <v>1009</v>
      </c>
      <c r="D535" s="2" t="s">
        <v>54</v>
      </c>
      <c r="E535" s="2" t="s">
        <v>25</v>
      </c>
      <c r="F535" s="2" t="s">
        <v>247</v>
      </c>
      <c r="G535" s="3">
        <v>74000</v>
      </c>
      <c r="H535" s="2" t="s">
        <v>36</v>
      </c>
      <c r="I535" s="2" t="s">
        <v>959</v>
      </c>
      <c r="J535" s="2">
        <v>12</v>
      </c>
      <c r="K535" s="2" t="s">
        <v>27</v>
      </c>
      <c r="L535" s="2" t="s">
        <v>22</v>
      </c>
      <c r="M535" s="2">
        <v>7</v>
      </c>
    </row>
    <row r="536" spans="1:13" x14ac:dyDescent="0.3">
      <c r="A536" s="4">
        <v>534</v>
      </c>
      <c r="B536" s="4" t="s">
        <v>1010</v>
      </c>
      <c r="C536" s="4" t="s">
        <v>420</v>
      </c>
      <c r="D536" s="4" t="s">
        <v>59</v>
      </c>
      <c r="E536" s="4" t="s">
        <v>73</v>
      </c>
      <c r="F536" s="4" t="s">
        <v>319</v>
      </c>
      <c r="G536" s="5">
        <v>65000</v>
      </c>
      <c r="H536" s="4" t="s">
        <v>32</v>
      </c>
      <c r="I536" s="4" t="s">
        <v>959</v>
      </c>
      <c r="J536" s="4">
        <v>2</v>
      </c>
      <c r="K536" s="4" t="s">
        <v>21</v>
      </c>
      <c r="L536" s="4" t="s">
        <v>46</v>
      </c>
      <c r="M536" s="4">
        <v>7</v>
      </c>
    </row>
    <row r="537" spans="1:13" x14ac:dyDescent="0.3">
      <c r="A537" s="2">
        <v>535</v>
      </c>
      <c r="B537" s="2" t="s">
        <v>1011</v>
      </c>
      <c r="C537" s="2" t="s">
        <v>1012</v>
      </c>
      <c r="D537" s="2" t="s">
        <v>90</v>
      </c>
      <c r="E537" s="2" t="s">
        <v>50</v>
      </c>
      <c r="F537" s="2" t="s">
        <v>113</v>
      </c>
      <c r="G537" s="3">
        <v>15000</v>
      </c>
      <c r="H537" s="2" t="s">
        <v>26</v>
      </c>
      <c r="I537" s="2" t="s">
        <v>959</v>
      </c>
      <c r="J537" s="2">
        <v>16</v>
      </c>
      <c r="K537" s="2" t="s">
        <v>21</v>
      </c>
      <c r="L537" s="2" t="s">
        <v>57</v>
      </c>
      <c r="M537" s="2">
        <v>10</v>
      </c>
    </row>
    <row r="538" spans="1:13" x14ac:dyDescent="0.3">
      <c r="A538" s="4">
        <v>536</v>
      </c>
      <c r="B538" s="4" t="s">
        <v>1013</v>
      </c>
      <c r="C538" s="4" t="s">
        <v>1014</v>
      </c>
      <c r="D538" s="4" t="s">
        <v>30</v>
      </c>
      <c r="E538" s="4" t="s">
        <v>55</v>
      </c>
      <c r="F538" s="4" t="s">
        <v>35</v>
      </c>
      <c r="G538" s="5">
        <v>22000</v>
      </c>
      <c r="H538" s="4" t="s">
        <v>19</v>
      </c>
      <c r="I538" s="4" t="s">
        <v>959</v>
      </c>
      <c r="J538" s="4">
        <v>1</v>
      </c>
      <c r="K538" s="4" t="s">
        <v>27</v>
      </c>
      <c r="L538" s="4" t="s">
        <v>22</v>
      </c>
      <c r="M538" s="4">
        <v>5</v>
      </c>
    </row>
    <row r="539" spans="1:13" x14ac:dyDescent="0.3">
      <c r="A539" s="2">
        <v>537</v>
      </c>
      <c r="B539" s="2" t="s">
        <v>1015</v>
      </c>
      <c r="C539" s="2" t="s">
        <v>1016</v>
      </c>
      <c r="D539" s="2" t="s">
        <v>49</v>
      </c>
      <c r="E539" s="2" t="s">
        <v>39</v>
      </c>
      <c r="F539" s="2" t="s">
        <v>108</v>
      </c>
      <c r="G539" s="3">
        <v>30000</v>
      </c>
      <c r="H539" s="2" t="s">
        <v>36</v>
      </c>
      <c r="I539" s="2" t="s">
        <v>959</v>
      </c>
      <c r="J539" s="2">
        <v>12</v>
      </c>
      <c r="K539" s="2" t="s">
        <v>27</v>
      </c>
      <c r="L539" s="2" t="s">
        <v>22</v>
      </c>
      <c r="M539" s="2">
        <v>12</v>
      </c>
    </row>
    <row r="540" spans="1:13" x14ac:dyDescent="0.3">
      <c r="A540" s="4">
        <v>538</v>
      </c>
      <c r="B540" s="4" t="s">
        <v>1017</v>
      </c>
      <c r="C540" s="4" t="s">
        <v>1018</v>
      </c>
      <c r="D540" s="4" t="s">
        <v>66</v>
      </c>
      <c r="E540" s="4" t="s">
        <v>45</v>
      </c>
      <c r="F540" s="4" t="s">
        <v>279</v>
      </c>
      <c r="G540" s="5">
        <v>104000</v>
      </c>
      <c r="H540" s="4" t="s">
        <v>19</v>
      </c>
      <c r="I540" s="4" t="s">
        <v>959</v>
      </c>
      <c r="J540" s="4">
        <v>14</v>
      </c>
      <c r="K540" s="4" t="s">
        <v>21</v>
      </c>
      <c r="L540" s="4" t="s">
        <v>22</v>
      </c>
      <c r="M540" s="4">
        <v>12</v>
      </c>
    </row>
    <row r="541" spans="1:13" x14ac:dyDescent="0.3">
      <c r="A541" s="2">
        <v>539</v>
      </c>
      <c r="B541" s="2" t="s">
        <v>1019</v>
      </c>
      <c r="C541" s="2" t="s">
        <v>863</v>
      </c>
      <c r="D541" s="2" t="s">
        <v>30</v>
      </c>
      <c r="E541" s="2" t="s">
        <v>39</v>
      </c>
      <c r="F541" s="2" t="s">
        <v>118</v>
      </c>
      <c r="G541" s="3">
        <v>46000</v>
      </c>
      <c r="H541" s="2" t="s">
        <v>32</v>
      </c>
      <c r="I541" s="2" t="s">
        <v>959</v>
      </c>
      <c r="J541" s="2">
        <v>2</v>
      </c>
      <c r="K541" s="2" t="s">
        <v>21</v>
      </c>
      <c r="L541" s="2" t="s">
        <v>46</v>
      </c>
      <c r="M541" s="2">
        <v>11</v>
      </c>
    </row>
    <row r="542" spans="1:13" x14ac:dyDescent="0.3">
      <c r="A542" s="4">
        <v>540</v>
      </c>
      <c r="B542" s="4" t="s">
        <v>1020</v>
      </c>
      <c r="C542" s="4" t="s">
        <v>1021</v>
      </c>
      <c r="D542" s="4" t="s">
        <v>59</v>
      </c>
      <c r="E542" s="4" t="s">
        <v>50</v>
      </c>
      <c r="F542" s="4" t="s">
        <v>80</v>
      </c>
      <c r="G542" s="5">
        <v>94000</v>
      </c>
      <c r="H542" s="4" t="s">
        <v>36</v>
      </c>
      <c r="I542" s="4" t="s">
        <v>959</v>
      </c>
      <c r="J542" s="4">
        <v>8</v>
      </c>
      <c r="K542" s="4" t="s">
        <v>21</v>
      </c>
      <c r="L542" s="4" t="s">
        <v>22</v>
      </c>
      <c r="M542" s="4">
        <v>8</v>
      </c>
    </row>
    <row r="543" spans="1:13" x14ac:dyDescent="0.3">
      <c r="A543" s="2">
        <v>541</v>
      </c>
      <c r="B543" s="2" t="s">
        <v>1022</v>
      </c>
      <c r="C543" s="2" t="s">
        <v>208</v>
      </c>
      <c r="D543" s="2" t="s">
        <v>30</v>
      </c>
      <c r="E543" s="2" t="s">
        <v>55</v>
      </c>
      <c r="F543" s="2" t="s">
        <v>31</v>
      </c>
      <c r="G543" s="3">
        <v>73000</v>
      </c>
      <c r="H543" s="2" t="s">
        <v>32</v>
      </c>
      <c r="I543" s="2" t="s">
        <v>959</v>
      </c>
      <c r="J543" s="2">
        <v>8</v>
      </c>
      <c r="K543" s="2" t="s">
        <v>21</v>
      </c>
      <c r="L543" s="2" t="s">
        <v>22</v>
      </c>
      <c r="M543" s="2">
        <v>5</v>
      </c>
    </row>
    <row r="544" spans="1:13" x14ac:dyDescent="0.3">
      <c r="A544" s="4">
        <v>542</v>
      </c>
      <c r="B544" s="4" t="s">
        <v>1023</v>
      </c>
      <c r="C544" s="4" t="s">
        <v>1024</v>
      </c>
      <c r="D544" s="4" t="s">
        <v>54</v>
      </c>
      <c r="E544" s="4" t="s">
        <v>60</v>
      </c>
      <c r="F544" s="4" t="s">
        <v>158</v>
      </c>
      <c r="G544" s="5">
        <v>49000</v>
      </c>
      <c r="H544" s="4" t="s">
        <v>36</v>
      </c>
      <c r="I544" s="4" t="s">
        <v>959</v>
      </c>
      <c r="J544" s="4">
        <v>17</v>
      </c>
      <c r="K544" s="4" t="s">
        <v>21</v>
      </c>
      <c r="L544" s="4" t="s">
        <v>57</v>
      </c>
      <c r="M544" s="4">
        <v>7</v>
      </c>
    </row>
  </sheetData>
  <mergeCells count="1">
    <mergeCell ref="A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7C82-0755-4FBA-8FEC-AF567C5D2E47}">
  <dimension ref="A1:S68"/>
  <sheetViews>
    <sheetView showGridLines="0" tabSelected="1" topLeftCell="A3" zoomScale="55" zoomScaleNormal="175" workbookViewId="0">
      <selection activeCell="AL20" sqref="AL20"/>
    </sheetView>
  </sheetViews>
  <sheetFormatPr defaultRowHeight="14.4" x14ac:dyDescent="0.3"/>
  <sheetData>
    <row r="1" spans="1:1" x14ac:dyDescent="0.3">
      <c r="A1" t="s">
        <v>1028</v>
      </c>
    </row>
    <row r="68" spans="19:19" x14ac:dyDescent="0.3">
      <c r="S68" s="15"/>
    </row>
  </sheetData>
  <sheetProtection algorithmName="SHA-512" hashValue="7mvhvXm/hffzAsyobE/yCdrMH/KcruBpfVLMu9J5S/ko6TFE5cv+0UdqzheQwQoDEEhdsLEBPZg+gedvTF8hNg==" saltValue="RI376+dogX5ndwEyNUgIV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Sheet3</vt:lpstr>
      <vt:lpstr>Sheet1</vt:lpstr>
      <vt:lpstr>Dashbroad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Dalvi</dc:creator>
  <cp:lastModifiedBy>Vijay Dalvi</cp:lastModifiedBy>
  <cp:lastPrinted>2026-06-08T07:04:25Z</cp:lastPrinted>
  <dcterms:created xsi:type="dcterms:W3CDTF">2026-06-08T05:43:01Z</dcterms:created>
  <dcterms:modified xsi:type="dcterms:W3CDTF">2026-06-29T13:47:39Z</dcterms:modified>
</cp:coreProperties>
</file>